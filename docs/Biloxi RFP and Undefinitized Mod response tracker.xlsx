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Z:\Shared\Operations\2024 ESA PROJECTS\2024-005 - Biloxi Building 1 Renovation\Contract Mods\"/>
    </mc:Choice>
  </mc:AlternateContent>
  <xr:revisionPtr revIDLastSave="0" documentId="13_ncr:1_{C33FEF2D-CE61-4075-B79D-CEF48420A198}" xr6:coauthVersionLast="47" xr6:coauthVersionMax="47" xr10:uidLastSave="{00000000-0000-0000-0000-000000000000}"/>
  <bookViews>
    <workbookView xWindow="-120" yWindow="-120" windowWidth="29040" windowHeight="15720" firstSheet="1" activeTab="1" xr2:uid="{00000000-000D-0000-FFFF-FFFF00000000}"/>
  </bookViews>
  <sheets>
    <sheet name="Mod Log" sheetId="3" r:id="rId1"/>
    <sheet name="RFP Log" sheetId="1" r:id="rId2"/>
    <sheet name="Committed Cost Tracker" sheetId="4" r:id="rId3"/>
    <sheet name="Action Log" sheetId="5" r:id="rId4"/>
  </sheets>
  <definedNames>
    <definedName name="_xlnm._FilterDatabase" localSheetId="3" hidden="1">'Action Log'!$A$1:$A$9</definedName>
    <definedName name="_xlnm._FilterDatabase" localSheetId="0" hidden="1">'Mod Log'!$A$1:$T$21</definedName>
    <definedName name="_xlnm._FilterDatabase" localSheetId="1" hidden="1">'RFP Log'!$A$1:$P$14</definedName>
    <definedName name="_xlnm.Print_Area" localSheetId="0">'Mod Log'!$A$1:$T$47</definedName>
    <definedName name="_xlnm.Print_Area" localSheetId="1">'RFP Log'!$A$1:$P$39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3" l="1"/>
  <c r="M16" i="3"/>
  <c r="M9" i="3"/>
  <c r="O24" i="3"/>
  <c r="M24" i="3"/>
  <c r="I24" i="3"/>
  <c r="O22" i="3"/>
  <c r="M22" i="3"/>
  <c r="I22" i="3"/>
  <c r="O7" i="3"/>
  <c r="M7" i="3"/>
  <c r="I7" i="3"/>
  <c r="O6" i="3"/>
  <c r="M6" i="3"/>
  <c r="I6" i="3"/>
  <c r="O12" i="3" l="1"/>
  <c r="M12" i="3"/>
  <c r="I12" i="3"/>
  <c r="O11" i="3"/>
  <c r="M11" i="3"/>
  <c r="I11" i="3"/>
  <c r="O18" i="3"/>
  <c r="I16" i="3" l="1"/>
  <c r="O16" i="3"/>
  <c r="O9" i="3"/>
  <c r="I9" i="3"/>
  <c r="K17" i="1"/>
  <c r="K18" i="1"/>
  <c r="K19" i="1"/>
  <c r="K20" i="1"/>
  <c r="K21" i="1"/>
  <c r="K22" i="1"/>
  <c r="K23" i="1"/>
  <c r="K24" i="1"/>
  <c r="K25" i="1"/>
  <c r="K26" i="1"/>
  <c r="K27" i="1"/>
  <c r="K28" i="1"/>
  <c r="K29" i="1"/>
  <c r="K30" i="1"/>
  <c r="M17" i="1"/>
  <c r="M18" i="1"/>
  <c r="M19" i="1"/>
  <c r="M20" i="1"/>
  <c r="M21" i="1"/>
  <c r="M22" i="1"/>
  <c r="M23" i="1"/>
  <c r="M24" i="1"/>
  <c r="M25" i="1"/>
  <c r="M26" i="1"/>
  <c r="M27" i="1"/>
  <c r="M28" i="1"/>
  <c r="M29" i="1"/>
  <c r="M30" i="1"/>
  <c r="M31" i="1"/>
  <c r="M32" i="1"/>
  <c r="M33" i="1"/>
  <c r="I14" i="1"/>
  <c r="I15" i="1"/>
  <c r="I16" i="1"/>
  <c r="I17" i="1"/>
  <c r="I18" i="1"/>
  <c r="I19" i="1"/>
  <c r="I20" i="1"/>
  <c r="I21" i="1"/>
  <c r="I22" i="1"/>
  <c r="I23" i="1"/>
  <c r="I24" i="1"/>
  <c r="I25" i="1"/>
  <c r="I26" i="1"/>
  <c r="I27" i="1"/>
  <c r="I28" i="1"/>
  <c r="I29" i="1"/>
  <c r="I30" i="1"/>
  <c r="I31" i="1"/>
  <c r="I32" i="1"/>
  <c r="I33" i="1"/>
  <c r="I34" i="1"/>
  <c r="I13" i="1"/>
  <c r="I20" i="3"/>
  <c r="O19" i="3"/>
  <c r="M19" i="3"/>
  <c r="I19" i="3"/>
  <c r="M18" i="3"/>
  <c r="M21" i="3"/>
  <c r="M23" i="3"/>
  <c r="M25" i="3"/>
  <c r="M26" i="3"/>
  <c r="M27" i="3"/>
  <c r="M28" i="3"/>
  <c r="M29" i="3"/>
  <c r="M30" i="3"/>
  <c r="M31" i="3"/>
  <c r="M8" i="3"/>
  <c r="M10" i="3"/>
  <c r="M13" i="3"/>
  <c r="M17" i="3"/>
  <c r="M15" i="3"/>
  <c r="I18" i="3"/>
  <c r="G8" i="4"/>
  <c r="G25" i="4" l="1"/>
  <c r="G13" i="4" l="1"/>
  <c r="O5" i="3" l="1"/>
  <c r="M5" i="3"/>
  <c r="I5" i="3"/>
  <c r="H47" i="3"/>
  <c r="G47" i="3"/>
  <c r="D47" i="3"/>
  <c r="H46" i="3"/>
  <c r="G46" i="3"/>
  <c r="D46" i="3"/>
  <c r="H45" i="3"/>
  <c r="G45" i="3"/>
  <c r="D45" i="3"/>
  <c r="H44" i="3"/>
  <c r="G44" i="3"/>
  <c r="D44" i="3"/>
  <c r="H43" i="3"/>
  <c r="G43" i="3"/>
  <c r="D43" i="3"/>
  <c r="O42" i="3"/>
  <c r="M42" i="3"/>
  <c r="I42" i="3"/>
  <c r="O41" i="3"/>
  <c r="M41" i="3"/>
  <c r="I41" i="3"/>
  <c r="O40" i="3"/>
  <c r="M40" i="3"/>
  <c r="I40" i="3"/>
  <c r="O39" i="3"/>
  <c r="M39" i="3"/>
  <c r="I39" i="3"/>
  <c r="O38" i="3"/>
  <c r="M38" i="3"/>
  <c r="I38" i="3"/>
  <c r="O37" i="3"/>
  <c r="M37" i="3"/>
  <c r="I37" i="3"/>
  <c r="O36" i="3"/>
  <c r="M36" i="3"/>
  <c r="I36" i="3"/>
  <c r="O35" i="3"/>
  <c r="M35" i="3"/>
  <c r="I35" i="3"/>
  <c r="O34" i="3"/>
  <c r="M34" i="3"/>
  <c r="I34" i="3"/>
  <c r="O33" i="3"/>
  <c r="M33" i="3"/>
  <c r="I33" i="3"/>
  <c r="O32" i="3"/>
  <c r="M32" i="3"/>
  <c r="I32" i="3"/>
  <c r="O31" i="3"/>
  <c r="I31" i="3"/>
  <c r="O30" i="3"/>
  <c r="I30" i="3"/>
  <c r="O29" i="3"/>
  <c r="I29" i="3"/>
  <c r="O28" i="3"/>
  <c r="I28" i="3"/>
  <c r="O27" i="3"/>
  <c r="I27" i="3"/>
  <c r="O26" i="3"/>
  <c r="I26" i="3"/>
  <c r="O25" i="3"/>
  <c r="O23" i="3"/>
  <c r="I23" i="3"/>
  <c r="O21" i="3"/>
  <c r="I21" i="3"/>
  <c r="O17" i="3"/>
  <c r="I17" i="3"/>
  <c r="O15" i="3"/>
  <c r="I15" i="3"/>
  <c r="O13" i="3"/>
  <c r="I13" i="3"/>
  <c r="O10" i="3"/>
  <c r="I10" i="3"/>
  <c r="O8" i="3"/>
  <c r="I8" i="3"/>
  <c r="K7" i="1"/>
  <c r="K8" i="1"/>
  <c r="K6" i="1"/>
  <c r="K13" i="1"/>
  <c r="K14" i="1"/>
  <c r="K15" i="1"/>
  <c r="K16" i="1"/>
  <c r="K31" i="1"/>
  <c r="K32" i="1"/>
  <c r="K33" i="1"/>
  <c r="K34" i="1"/>
  <c r="M13" i="1" l="1"/>
  <c r="M14" i="1"/>
  <c r="M15" i="1"/>
  <c r="M16" i="1"/>
  <c r="M34" i="1"/>
  <c r="M6" i="1"/>
  <c r="M7" i="1"/>
  <c r="M8" i="1"/>
  <c r="M10" i="1"/>
  <c r="M11" i="1"/>
  <c r="M12" i="1"/>
  <c r="M5" i="1"/>
  <c r="I6" i="1"/>
  <c r="I7" i="1"/>
  <c r="I8" i="1"/>
  <c r="I9" i="1"/>
  <c r="I10" i="1"/>
  <c r="I11" i="1"/>
  <c r="I12" i="1"/>
  <c r="I5" i="1"/>
  <c r="H38" i="1"/>
  <c r="G38" i="1"/>
  <c r="D38" i="1"/>
  <c r="H37" i="1"/>
  <c r="G37" i="1"/>
  <c r="D37" i="1"/>
  <c r="H36" i="1"/>
  <c r="G36" i="1"/>
  <c r="D36" i="1"/>
  <c r="H35" i="1"/>
  <c r="G35" i="1"/>
  <c r="D35" i="1"/>
  <c r="D39" i="1"/>
  <c r="G39" i="1"/>
  <c r="H3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Remich</author>
  </authors>
  <commentList>
    <comment ref="U3" authorId="0" shapeId="0" xr:uid="{40F9368C-9F0E-450A-8FBF-8225F7328A4F}">
      <text>
        <r>
          <rPr>
            <b/>
            <sz val="9"/>
            <color indexed="81"/>
            <rFont val="Tahoma"/>
            <family val="2"/>
          </rPr>
          <t>John Remich:</t>
        </r>
        <r>
          <rPr>
            <sz val="9"/>
            <color indexed="81"/>
            <rFont val="Tahoma"/>
            <family val="2"/>
          </rPr>
          <t xml:space="preserve">
Worksheet- changes worksheet is compelte and forwarded to Jake
Fragnet-Fragnet completed
Fragnet Ready - Fragnet completed and ready for quote
agreed- VA agreed to allow frgnet into schedule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Remich</author>
  </authors>
  <commentList>
    <comment ref="Q3" authorId="0" shapeId="0" xr:uid="{0B751A76-200A-4161-89ED-FEE79ECD9289}">
      <text>
        <r>
          <rPr>
            <b/>
            <sz val="9"/>
            <color indexed="81"/>
            <rFont val="Tahoma"/>
            <family val="2"/>
          </rPr>
          <t>John Remich:</t>
        </r>
        <r>
          <rPr>
            <sz val="9"/>
            <color indexed="81"/>
            <rFont val="Tahoma"/>
            <family val="2"/>
          </rPr>
          <t xml:space="preserve">
Worksheet- changes worksheet is compelte and forwarded to Jake
Fragnet-Fragnet completed
Ready - Fragnet completed and ready for quote
Ageed - VA agreed to allow in schedule</t>
        </r>
      </text>
    </comment>
  </commentList>
</comments>
</file>

<file path=xl/sharedStrings.xml><?xml version="1.0" encoding="utf-8"?>
<sst xmlns="http://schemas.openxmlformats.org/spreadsheetml/2006/main" count="335" uniqueCount="163">
  <si>
    <t>Date Response Required</t>
  </si>
  <si>
    <t>Date Response Received</t>
  </si>
  <si>
    <t>CONTRACT No.</t>
  </si>
  <si>
    <t>Project Name</t>
  </si>
  <si>
    <t>Outstanding</t>
  </si>
  <si>
    <t xml:space="preserve"> Days </t>
  </si>
  <si>
    <t xml:space="preserve">Biloxi Building 1 Renovation </t>
  </si>
  <si>
    <t xml:space="preserve">36C10F25C50000 </t>
  </si>
  <si>
    <t>Days open</t>
  </si>
  <si>
    <t>Open /Closed</t>
  </si>
  <si>
    <t xml:space="preserve">                                      </t>
  </si>
  <si>
    <t>Date Received</t>
  </si>
  <si>
    <t xml:space="preserve">30 Day Response Date </t>
  </si>
  <si>
    <t>Date Quote Provided</t>
  </si>
  <si>
    <t>Partnering</t>
  </si>
  <si>
    <t>Mod P00001</t>
  </si>
  <si>
    <t>Mod P00004</t>
  </si>
  <si>
    <t>2R1</t>
  </si>
  <si>
    <t>2R2</t>
  </si>
  <si>
    <t>VPIH testing and work monitoring</t>
  </si>
  <si>
    <t>Correspondence provided</t>
  </si>
  <si>
    <t>Water, drawing rack and cart gasoline</t>
  </si>
  <si>
    <t>3R2</t>
  </si>
  <si>
    <t>3R3</t>
  </si>
  <si>
    <t>3R4</t>
  </si>
  <si>
    <t>Wayfinding signage</t>
  </si>
  <si>
    <t>Conformed drawings set</t>
  </si>
  <si>
    <t xml:space="preserve">Notes/How resolved (Mod, etc) </t>
  </si>
  <si>
    <t>Remove doors at Crash cart alchoves</t>
  </si>
  <si>
    <t>Structural concrete repairs</t>
  </si>
  <si>
    <t>Shipping samples to AE</t>
  </si>
  <si>
    <t>Automatic Transfer Switches</t>
  </si>
  <si>
    <t>Undefinitized Mod P00005</t>
  </si>
  <si>
    <t>Undefinitized Mod P00006</t>
  </si>
  <si>
    <t>Undefinitized Mod P00007</t>
  </si>
  <si>
    <t>Undefinitized Mod P00008</t>
  </si>
  <si>
    <t>Undefinitized Mod P00009</t>
  </si>
  <si>
    <t>Type K pipe</t>
  </si>
  <si>
    <t>N/A</t>
  </si>
  <si>
    <t>RFP/Mod  Number</t>
  </si>
  <si>
    <t>Description</t>
  </si>
  <si>
    <t>RFP and Undefinitized Mod Tracker</t>
  </si>
  <si>
    <t>Undefinitized Mod P00010</t>
  </si>
  <si>
    <t>South Awning</t>
  </si>
  <si>
    <t xml:space="preserve">Undefinitized Mod P00003.  directed by Ben Co / Krystal to hold off on submitting pricing until final survey is completed as to make sure everything is captured in one go </t>
  </si>
  <si>
    <t>Quote date</t>
  </si>
  <si>
    <t>Projections</t>
  </si>
  <si>
    <t>Received to quote days</t>
  </si>
  <si>
    <t>Undefinitized Mod P00011</t>
  </si>
  <si>
    <t>Electrical Inventory</t>
  </si>
  <si>
    <t xml:space="preserve">Attic ducting (roofing supports) </t>
  </si>
  <si>
    <t>2nd Floor Ceiling Tiles</t>
  </si>
  <si>
    <t>Undefinitized Mod P00012</t>
  </si>
  <si>
    <t>Undefinitized Mod P00003</t>
  </si>
  <si>
    <t>Asbestos and Lead Abatement Additional Monitoring</t>
  </si>
  <si>
    <t>Roof Deck and structural joist patching</t>
  </si>
  <si>
    <t>Undefinitized Mod P00013</t>
  </si>
  <si>
    <t>Undefinitized Mod P00014</t>
  </si>
  <si>
    <t xml:space="preserve">Eyewash Stations Dental Soiled Utility  </t>
  </si>
  <si>
    <t xml:space="preserve">Eyewash Stations Dental Soiled Utility </t>
  </si>
  <si>
    <t xml:space="preserve">Attic Duct Pipe Rearrangement </t>
  </si>
  <si>
    <t>MOD Type</t>
  </si>
  <si>
    <t xml:space="preserve">Unilateral </t>
  </si>
  <si>
    <t>MOD Costs</t>
  </si>
  <si>
    <t>Unilateral VS Bilateral</t>
  </si>
  <si>
    <t>Unilateral Estimate</t>
  </si>
  <si>
    <t xml:space="preserve">Attic duct Pipe Rearrangement </t>
  </si>
  <si>
    <t xml:space="preserve">OHC - PSA </t>
  </si>
  <si>
    <t xml:space="preserve">OHC - CO#1 </t>
  </si>
  <si>
    <t>Alloy - CO#4</t>
  </si>
  <si>
    <t>Arkel CO#1</t>
  </si>
  <si>
    <t>Request For Proposal 1</t>
  </si>
  <si>
    <t>Request For Proposal 2</t>
  </si>
  <si>
    <t>Request For Proposal 3</t>
  </si>
  <si>
    <t>Request For Proposal 4</t>
  </si>
  <si>
    <t>Request For Proposal 5</t>
  </si>
  <si>
    <t>Request For Proposal 6</t>
  </si>
  <si>
    <t>Request For Proposal 7</t>
  </si>
  <si>
    <t>Request For Proposal 8</t>
  </si>
  <si>
    <t>Request For Proposal 9</t>
  </si>
  <si>
    <t>Request For Proposal 10</t>
  </si>
  <si>
    <t>Request For Proposal 11</t>
  </si>
  <si>
    <t>Request For Proposal 12</t>
  </si>
  <si>
    <t>Final MOD Cost</t>
  </si>
  <si>
    <t>Submitted MOD Cost</t>
  </si>
  <si>
    <t>Unilateral MOD Estimate</t>
  </si>
  <si>
    <t xml:space="preserve">Committed Sub and Type </t>
  </si>
  <si>
    <t>Global Awn - Subcontract</t>
  </si>
  <si>
    <t xml:space="preserve">Commitments </t>
  </si>
  <si>
    <t>Variance</t>
  </si>
  <si>
    <t xml:space="preserve">Final MOD Value </t>
  </si>
  <si>
    <t>Submits RFP 7 v1 Pricing</t>
  </si>
  <si>
    <t>Kevin Plash</t>
  </si>
  <si>
    <t>RFI 138 submitted - Through Bolt for Grab Bars Conflict</t>
  </si>
  <si>
    <t>James Thompson</t>
  </si>
  <si>
    <t>Submits Mod 6 v1 Pricing</t>
  </si>
  <si>
    <t>Submits Mod 10 v2 Pricing &amp; Breakdown</t>
  </si>
  <si>
    <t>Mod Status Breakdown sent to Krystal Glasper</t>
  </si>
  <si>
    <t>Asks for additional backup on Mod 10</t>
  </si>
  <si>
    <t>Krystal Glasper</t>
  </si>
  <si>
    <t>Submits Mod 10 v1 Pricing</t>
  </si>
  <si>
    <t>RFI 130 submitted - Missing Bariatric Supports</t>
  </si>
  <si>
    <t>Thomas Harmon</t>
  </si>
  <si>
    <t>Action</t>
  </si>
  <si>
    <t>Who</t>
  </si>
  <si>
    <t>Date</t>
  </si>
  <si>
    <t>MOD Projections</t>
  </si>
  <si>
    <t>MOD Actuals</t>
  </si>
  <si>
    <t xml:space="preserve"> Days open</t>
  </si>
  <si>
    <t>Date Submitted</t>
  </si>
  <si>
    <t>Estimated Submission</t>
  </si>
  <si>
    <t>Estimated Days Open</t>
  </si>
  <si>
    <t>South Awning Rev 1</t>
  </si>
  <si>
    <t>New Revision Submitted</t>
  </si>
  <si>
    <t xml:space="preserve">Resubmitted Mod 6 &amp; 10 and RFP 7 </t>
  </si>
  <si>
    <t>Gave reply to Krystal's questions about removing overhead</t>
  </si>
  <si>
    <t>South Awning Rev 2</t>
  </si>
  <si>
    <t>South Awning Rev 3</t>
  </si>
  <si>
    <t>Conference Room Monitors &amp; Splitters</t>
  </si>
  <si>
    <t>MedGas Pipe Size Revision</t>
  </si>
  <si>
    <t>superseded Mod 16</t>
  </si>
  <si>
    <t>Submits Mod 11</t>
  </si>
  <si>
    <t>Declines review of Mod 11 as pricing is not on VA Form (Does not need to be on VA Form as &gt;500k)</t>
  </si>
  <si>
    <t>Rev 2 received</t>
  </si>
  <si>
    <t>Undefinitized Mod P00016</t>
  </si>
  <si>
    <t>Additional Concrete Repairs</t>
  </si>
  <si>
    <t>Unilateral</t>
  </si>
  <si>
    <t xml:space="preserve">March 16th VA notified us that Drawing Revision 2 was to be priced as part of Mod P00005. </t>
  </si>
  <si>
    <t>P00005</t>
  </si>
  <si>
    <t>P00008</t>
  </si>
  <si>
    <t xml:space="preserve">Awaiting additional Design. RFI 141 Submitted. </t>
  </si>
  <si>
    <t xml:space="preserve">RFI response received 12Nov2025 indicate wood studs are not load bearing and can be removed. </t>
  </si>
  <si>
    <t>Dwg rev 3 - EHRM</t>
  </si>
  <si>
    <t>Dwg pkg rcvd 31Mar</t>
  </si>
  <si>
    <t>status</t>
  </si>
  <si>
    <t>Fragnet status</t>
  </si>
  <si>
    <t>agreed</t>
  </si>
  <si>
    <t>ready</t>
  </si>
  <si>
    <t>draft worksheet</t>
  </si>
  <si>
    <t>used VA fragent</t>
  </si>
  <si>
    <t>cancelled 8Apr2026</t>
  </si>
  <si>
    <t>worksheet updated 14Apr2026</t>
  </si>
  <si>
    <t xml:space="preserve">Awaiting pricing. Rick Stewart can provide review. As of 14 Apr2026 waiting VA to tell us how they want the LBP and asbestos abated encapsulated or left alone, but ESA needs to send in quotes to VA first. .  </t>
  </si>
  <si>
    <r>
      <rPr>
        <b/>
        <sz val="15"/>
        <color rgb="FF000000"/>
        <rFont val="Times New Roman"/>
        <family val="1"/>
      </rPr>
      <t>Correspondence</t>
    </r>
    <r>
      <rPr>
        <b/>
        <sz val="18"/>
        <color rgb="FF000000"/>
        <rFont val="Times New Roman"/>
        <family val="1"/>
      </rPr>
      <t xml:space="preserve"> provided</t>
    </r>
  </si>
  <si>
    <t>Fragnet Ready</t>
  </si>
  <si>
    <t>Draft worksheet started</t>
  </si>
  <si>
    <t>draft worksheet starteed</t>
  </si>
  <si>
    <t>Drawing revision set 7 received 24Mar2027 requires ESA to perform survey and propose scope to VA for approval.  Now waiting on survey and subsequent VA direction. (jpr/15Apr)</t>
  </si>
  <si>
    <t>Revised</t>
  </si>
  <si>
    <t>South Awning Rev  4</t>
  </si>
  <si>
    <t>Cancelled</t>
  </si>
  <si>
    <t>To be nc;uded with quote for MOD P00007</t>
  </si>
  <si>
    <t>P00010</t>
  </si>
  <si>
    <t>P00003</t>
  </si>
  <si>
    <t>Informed via phone call from Ben Coe that some of the costs included in rev 1 were to be issued as separate mod.</t>
  </si>
  <si>
    <t xml:space="preserve">Combined and submitted with Mod 11. </t>
  </si>
  <si>
    <t>South Wall Chimney</t>
  </si>
  <si>
    <t>Hardware Revision</t>
  </si>
  <si>
    <t>P00007</t>
  </si>
  <si>
    <t xml:space="preserve">Type K pipe </t>
  </si>
  <si>
    <t xml:space="preserve">unilateral </t>
  </si>
  <si>
    <t xml:space="preserve">23Apr2026 email from Krystal saying to hold until AE can confirm the current pipe sizes meet mission requirements.  </t>
  </si>
  <si>
    <t>Final RFP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</si>
</sst>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409]d/mmm/yy;@"/>
    <numFmt numFmtId="165" formatCode="[$-409]d\-mmm\-yy;@"/>
  </numFmts>
  <fonts count="30" x14ac:knownFonts="1">
    <font>
      <sz val="10"/>
      <name val="Arial"/>
    </font>
    <font>
      <sz val="10"/>
      <name val="Arial"/>
      <family val="2"/>
    </font>
    <font>
      <sz val="8"/>
      <name val="Arial"/>
      <family val="2"/>
    </font>
    <font>
      <b/>
      <sz val="18"/>
      <color rgb="FF000000"/>
      <name val="Times New Roman"/>
      <family val="1"/>
    </font>
    <font>
      <sz val="18"/>
      <name val="Times New Roman"/>
      <family val="1"/>
    </font>
    <font>
      <b/>
      <sz val="20"/>
      <color rgb="FF000000"/>
      <name val="Times New Roman"/>
      <family val="1"/>
    </font>
    <font>
      <sz val="14"/>
      <color rgb="FF000000"/>
      <name val="Times New Roman"/>
      <family val="1"/>
    </font>
    <font>
      <sz val="14"/>
      <name val="Times New Roman"/>
      <family val="1"/>
    </font>
    <font>
      <sz val="18"/>
      <color rgb="FF000000"/>
      <name val="Times New Roman"/>
      <family val="1"/>
    </font>
    <font>
      <sz val="20"/>
      <color rgb="FF000000"/>
      <name val="Times New Roman"/>
      <family val="1"/>
    </font>
    <font>
      <sz val="12"/>
      <name val="Times New Roman"/>
      <family val="1"/>
    </font>
    <font>
      <sz val="12"/>
      <color rgb="FFFF0000"/>
      <name val="Times New Roman"/>
      <family val="1"/>
    </font>
    <font>
      <sz val="10"/>
      <name val="Arial"/>
      <family val="2"/>
    </font>
    <font>
      <sz val="8"/>
      <name val="Arial"/>
      <family val="2"/>
    </font>
    <font>
      <b/>
      <sz val="10"/>
      <name val="Arial"/>
      <family val="2"/>
    </font>
    <font>
      <b/>
      <sz val="18"/>
      <name val="Times New Roman"/>
      <family val="1"/>
    </font>
    <font>
      <b/>
      <sz val="14"/>
      <name val="Times New Roman"/>
      <family val="1"/>
    </font>
    <font>
      <sz val="14"/>
      <color rgb="FFFF0000"/>
      <name val="Times New Roman"/>
      <family val="1"/>
    </font>
    <font>
      <sz val="9"/>
      <color indexed="81"/>
      <name val="Tahoma"/>
      <family val="2"/>
    </font>
    <font>
      <b/>
      <sz val="9"/>
      <color indexed="81"/>
      <name val="Tahoma"/>
      <family val="2"/>
    </font>
    <font>
      <sz val="18"/>
      <color rgb="FFFF0000"/>
      <name val="Times New Roman"/>
      <family val="1"/>
    </font>
    <font>
      <b/>
      <sz val="16"/>
      <color rgb="FF000000"/>
      <name val="Times New Roman"/>
      <family val="1"/>
    </font>
    <font>
      <b/>
      <sz val="15"/>
      <color rgb="FF000000"/>
      <name val="Times New Roman"/>
      <family val="1"/>
    </font>
    <font>
      <sz val="14"/>
      <color theme="0" tint="-0.249977111117893"/>
      <name val="Times New Roman"/>
      <family val="1"/>
    </font>
    <font>
      <sz val="12"/>
      <color theme="0" tint="-0.249977111117893"/>
      <name val="Times New Roman"/>
      <family val="1"/>
    </font>
    <font>
      <sz val="18"/>
      <color theme="0" tint="-0.249977111117893"/>
      <name val="Times New Roman"/>
      <family val="1"/>
    </font>
    <font>
      <sz val="14"/>
      <color theme="0" tint="-0.34998626667073579"/>
      <name val="Times New Roman"/>
      <family val="1"/>
    </font>
    <font>
      <sz val="12"/>
      <color theme="0" tint="-0.34998626667073579"/>
      <name val="Times New Roman"/>
      <family val="1"/>
    </font>
    <font>
      <sz val="18"/>
      <color theme="0" tint="-0.34998626667073579"/>
      <name val="Times New Roman"/>
      <family val="1"/>
    </font>
    <font>
      <strike/>
      <sz val="14"/>
      <color theme="0" tint="-0.34998626667073579"/>
      <name val="Times New Roman"/>
      <family val="1"/>
    </font>
  </fonts>
  <fills count="11">
    <fill>
      <patternFill patternType="none"/>
    </fill>
    <fill>
      <patternFill patternType="gray125"/>
    </fill>
    <fill>
      <patternFill patternType="solid">
        <fgColor rgb="FFFFFF99"/>
        <bgColor rgb="FFFFFF99"/>
      </patternFill>
    </fill>
    <fill>
      <patternFill patternType="solid">
        <fgColor theme="0"/>
        <bgColor indexed="64"/>
      </patternFill>
    </fill>
    <fill>
      <patternFill patternType="solid">
        <fgColor theme="0" tint="-0.499984740745262"/>
        <bgColor rgb="FFFFFF99"/>
      </patternFill>
    </fill>
    <fill>
      <patternFill patternType="solid">
        <fgColor rgb="FF92D05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theme="7" tint="0.79998168889431442"/>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12" fillId="0" borderId="0" applyFont="0" applyFill="0" applyBorder="0" applyAlignment="0" applyProtection="0"/>
  </cellStyleXfs>
  <cellXfs count="211">
    <xf numFmtId="0" fontId="0" fillId="0" borderId="0" xfId="0"/>
    <xf numFmtId="0" fontId="3" fillId="2" borderId="6" xfId="0" applyFont="1" applyFill="1" applyBorder="1"/>
    <xf numFmtId="0" fontId="4" fillId="0" borderId="0" xfId="0" applyFont="1" applyAlignment="1">
      <alignment wrapText="1"/>
    </xf>
    <xf numFmtId="0" fontId="3" fillId="2" borderId="5" xfId="0" applyFont="1" applyFill="1" applyBorder="1"/>
    <xf numFmtId="0" fontId="4" fillId="0" borderId="7" xfId="0" applyFont="1" applyBorder="1" applyAlignment="1">
      <alignment wrapText="1"/>
    </xf>
    <xf numFmtId="0" fontId="4" fillId="3" borderId="0" xfId="0" applyFont="1" applyFill="1" applyAlignment="1">
      <alignment wrapText="1"/>
    </xf>
    <xf numFmtId="0" fontId="6" fillId="0" borderId="1" xfId="0" applyFont="1" applyBorder="1" applyAlignment="1">
      <alignment horizontal="center"/>
    </xf>
    <xf numFmtId="14" fontId="6" fillId="0" borderId="1" xfId="0" applyNumberFormat="1" applyFont="1" applyBorder="1" applyAlignment="1">
      <alignment horizontal="center"/>
    </xf>
    <xf numFmtId="165" fontId="7" fillId="0" borderId="5" xfId="0" applyNumberFormat="1" applyFont="1" applyBorder="1" applyAlignment="1">
      <alignment horizontal="center" wrapText="1"/>
    </xf>
    <xf numFmtId="0" fontId="7" fillId="0" borderId="5" xfId="0" applyFont="1" applyBorder="1" applyAlignment="1">
      <alignment horizontal="right" wrapText="1"/>
    </xf>
    <xf numFmtId="0" fontId="7" fillId="0" borderId="1" xfId="0" applyFont="1" applyBorder="1" applyAlignment="1">
      <alignment horizontal="right" wrapText="1"/>
    </xf>
    <xf numFmtId="0" fontId="6" fillId="3" borderId="1" xfId="0" applyFont="1" applyFill="1" applyBorder="1" applyAlignment="1">
      <alignment horizontal="center"/>
    </xf>
    <xf numFmtId="0" fontId="7" fillId="3" borderId="1" xfId="0" applyFont="1" applyFill="1" applyBorder="1" applyAlignment="1">
      <alignment horizontal="right" wrapText="1"/>
    </xf>
    <xf numFmtId="164" fontId="6" fillId="0" borderId="1" xfId="0" applyNumberFormat="1" applyFont="1" applyBorder="1" applyAlignment="1">
      <alignment horizontal="center"/>
    </xf>
    <xf numFmtId="0" fontId="7" fillId="3" borderId="5" xfId="0" applyFont="1" applyFill="1" applyBorder="1" applyAlignment="1">
      <alignment horizontal="right" wrapText="1"/>
    </xf>
    <xf numFmtId="0" fontId="6" fillId="0" borderId="7" xfId="0" applyFont="1" applyBorder="1" applyAlignment="1">
      <alignment horizontal="center"/>
    </xf>
    <xf numFmtId="14" fontId="6" fillId="0" borderId="0" xfId="0" applyNumberFormat="1" applyFont="1" applyAlignment="1">
      <alignment horizontal="center"/>
    </xf>
    <xf numFmtId="0" fontId="6" fillId="0" borderId="0" xfId="0" applyFont="1"/>
    <xf numFmtId="164" fontId="6" fillId="0" borderId="0" xfId="0" applyNumberFormat="1" applyFont="1" applyAlignment="1">
      <alignment horizontal="center"/>
    </xf>
    <xf numFmtId="165" fontId="7" fillId="0" borderId="0" xfId="0" applyNumberFormat="1" applyFont="1" applyAlignment="1">
      <alignment horizontal="center" wrapText="1"/>
    </xf>
    <xf numFmtId="0" fontId="7" fillId="0" borderId="0" xfId="0" applyFont="1" applyAlignment="1">
      <alignment horizontal="right" wrapText="1"/>
    </xf>
    <xf numFmtId="0" fontId="7" fillId="3" borderId="0" xfId="0" applyFont="1" applyFill="1"/>
    <xf numFmtId="0" fontId="3" fillId="4" borderId="5" xfId="0" applyFont="1" applyFill="1" applyBorder="1" applyAlignment="1">
      <alignment horizontal="center" wrapText="1"/>
    </xf>
    <xf numFmtId="0" fontId="3" fillId="4" borderId="4" xfId="0" applyFont="1" applyFill="1" applyBorder="1" applyAlignment="1">
      <alignment horizontal="center" wrapText="1"/>
    </xf>
    <xf numFmtId="0" fontId="6" fillId="0" borderId="2" xfId="0" applyFont="1" applyBorder="1"/>
    <xf numFmtId="0" fontId="6" fillId="0" borderId="1" xfId="0" applyFont="1" applyBorder="1"/>
    <xf numFmtId="0" fontId="6" fillId="0" borderId="2" xfId="0" applyFont="1" applyBorder="1" applyAlignment="1">
      <alignment wrapText="1"/>
    </xf>
    <xf numFmtId="0" fontId="7" fillId="0" borderId="1" xfId="0" applyFont="1" applyBorder="1" applyAlignment="1">
      <alignment horizont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wrapText="1"/>
    </xf>
    <xf numFmtId="0" fontId="3" fillId="2" borderId="7" xfId="0" applyFont="1" applyFill="1" applyBorder="1"/>
    <xf numFmtId="0" fontId="3" fillId="2" borderId="0" xfId="0" applyFont="1" applyFill="1"/>
    <xf numFmtId="0" fontId="5" fillId="2" borderId="8" xfId="0" applyFont="1" applyFill="1" applyBorder="1"/>
    <xf numFmtId="0" fontId="5" fillId="2" borderId="3" xfId="0" applyFont="1" applyFill="1" applyBorder="1"/>
    <xf numFmtId="0" fontId="10" fillId="0" borderId="1" xfId="0" applyFont="1" applyBorder="1" applyAlignment="1">
      <alignment horizontal="left" wrapText="1"/>
    </xf>
    <xf numFmtId="0" fontId="8" fillId="2" borderId="0" xfId="0" applyFont="1" applyFill="1" applyAlignment="1">
      <alignment wrapText="1"/>
    </xf>
    <xf numFmtId="0" fontId="9" fillId="2" borderId="3" xfId="0" applyFont="1" applyFill="1" applyBorder="1" applyAlignment="1">
      <alignment wrapText="1"/>
    </xf>
    <xf numFmtId="15" fontId="7" fillId="0" borderId="1" xfId="0" applyNumberFormat="1" applyFont="1" applyBorder="1" applyAlignment="1">
      <alignment horizontal="center" vertical="center" wrapText="1"/>
    </xf>
    <xf numFmtId="14" fontId="3" fillId="2" borderId="7" xfId="0" applyNumberFormat="1" applyFont="1" applyFill="1" applyBorder="1"/>
    <xf numFmtId="14" fontId="5" fillId="2" borderId="8" xfId="0" applyNumberFormat="1" applyFont="1" applyFill="1" applyBorder="1"/>
    <xf numFmtId="14" fontId="7" fillId="0" borderId="1" xfId="0" applyNumberFormat="1" applyFont="1" applyBorder="1" applyAlignment="1">
      <alignment horizontal="center" wrapText="1"/>
    </xf>
    <xf numFmtId="14" fontId="7" fillId="0" borderId="1" xfId="0" applyNumberFormat="1" applyFont="1" applyBorder="1" applyAlignment="1">
      <alignment horizontal="center" vertical="center" wrapText="1"/>
    </xf>
    <xf numFmtId="14" fontId="7" fillId="0" borderId="0" xfId="0" applyNumberFormat="1" applyFont="1" applyAlignment="1">
      <alignment horizontal="center" wrapText="1"/>
    </xf>
    <xf numFmtId="14" fontId="4" fillId="0" borderId="0" xfId="0" applyNumberFormat="1" applyFont="1" applyAlignment="1">
      <alignment horizontal="center" wrapText="1"/>
    </xf>
    <xf numFmtId="15" fontId="7" fillId="3" borderId="1" xfId="0" applyNumberFormat="1" applyFont="1" applyFill="1" applyBorder="1" applyAlignment="1">
      <alignment horizontal="center" vertical="center" wrapText="1"/>
    </xf>
    <xf numFmtId="1" fontId="3" fillId="2" borderId="0" xfId="0" applyNumberFormat="1" applyFont="1" applyFill="1"/>
    <xf numFmtId="1" fontId="5" fillId="2" borderId="3" xfId="0" applyNumberFormat="1" applyFont="1" applyFill="1" applyBorder="1"/>
    <xf numFmtId="1" fontId="7" fillId="0" borderId="1" xfId="0" applyNumberFormat="1" applyFont="1" applyBorder="1" applyAlignment="1">
      <alignment horizontal="center" vertical="center" wrapText="1"/>
    </xf>
    <xf numFmtId="1" fontId="7" fillId="0" borderId="0" xfId="0" applyNumberFormat="1" applyFont="1" applyAlignment="1">
      <alignment horizontal="center" vertical="center" wrapText="1"/>
    </xf>
    <xf numFmtId="1" fontId="4" fillId="0" borderId="0" xfId="0" applyNumberFormat="1" applyFont="1" applyAlignment="1">
      <alignment horizontal="center" vertical="center" wrapText="1"/>
    </xf>
    <xf numFmtId="14" fontId="3" fillId="2" borderId="0" xfId="0" applyNumberFormat="1" applyFont="1" applyFill="1"/>
    <xf numFmtId="14" fontId="5" fillId="2" borderId="3" xfId="0" applyNumberFormat="1" applyFont="1" applyFill="1" applyBorder="1"/>
    <xf numFmtId="14" fontId="7" fillId="3" borderId="1" xfId="0" applyNumberFormat="1" applyFont="1" applyFill="1" applyBorder="1" applyAlignment="1">
      <alignment horizontal="center" vertical="center" wrapText="1"/>
    </xf>
    <xf numFmtId="14" fontId="7" fillId="0" borderId="0" xfId="0" applyNumberFormat="1" applyFont="1" applyAlignment="1">
      <alignment horizontal="center" vertical="center" wrapText="1"/>
    </xf>
    <xf numFmtId="14" fontId="4" fillId="0" borderId="0" xfId="0" applyNumberFormat="1" applyFont="1" applyAlignment="1">
      <alignment horizontal="center" vertical="center" wrapText="1"/>
    </xf>
    <xf numFmtId="0" fontId="4" fillId="5" borderId="0" xfId="0" applyFont="1" applyFill="1" applyAlignment="1">
      <alignment wrapText="1"/>
    </xf>
    <xf numFmtId="14" fontId="3" fillId="2" borderId="5" xfId="0" applyNumberFormat="1" applyFont="1" applyFill="1" applyBorder="1" applyAlignment="1">
      <alignment horizontal="center" wrapText="1"/>
    </xf>
    <xf numFmtId="1" fontId="7" fillId="6" borderId="1" xfId="0" applyNumberFormat="1" applyFont="1" applyFill="1" applyBorder="1" applyAlignment="1">
      <alignment horizontal="center" vertical="center" wrapText="1"/>
    </xf>
    <xf numFmtId="14" fontId="7" fillId="6" borderId="1" xfId="0" applyNumberFormat="1" applyFont="1" applyFill="1" applyBorder="1" applyAlignment="1">
      <alignment horizontal="center" wrapText="1"/>
    </xf>
    <xf numFmtId="0" fontId="6" fillId="7" borderId="2" xfId="0" applyFont="1" applyFill="1" applyBorder="1" applyAlignment="1">
      <alignment wrapText="1"/>
    </xf>
    <xf numFmtId="0" fontId="1" fillId="0" borderId="0" xfId="0" applyFont="1"/>
    <xf numFmtId="44" fontId="0" fillId="0" borderId="0" xfId="2" applyFont="1"/>
    <xf numFmtId="0" fontId="1" fillId="0" borderId="0" xfId="0" applyFont="1" applyAlignment="1">
      <alignment horizontal="center" vertical="center" wrapText="1"/>
    </xf>
    <xf numFmtId="0" fontId="1" fillId="0" borderId="0" xfId="0" applyFont="1" applyAlignment="1">
      <alignment horizontal="center" vertical="center"/>
    </xf>
    <xf numFmtId="14" fontId="3" fillId="2" borderId="1"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wrapText="1"/>
    </xf>
    <xf numFmtId="14" fontId="1" fillId="0" borderId="0" xfId="0" applyNumberFormat="1" applyFont="1"/>
    <xf numFmtId="14" fontId="0" fillId="0" borderId="0" xfId="0" applyNumberFormat="1"/>
    <xf numFmtId="0" fontId="14" fillId="0" borderId="0" xfId="0" applyFont="1"/>
    <xf numFmtId="14" fontId="7" fillId="8" borderId="1" xfId="0" applyNumberFormat="1" applyFont="1" applyFill="1" applyBorder="1" applyAlignment="1">
      <alignment horizontal="center" vertical="center" wrapText="1"/>
    </xf>
    <xf numFmtId="1" fontId="7" fillId="8" borderId="1" xfId="0" applyNumberFormat="1" applyFont="1" applyFill="1" applyBorder="1" applyAlignment="1">
      <alignment horizontal="center" vertical="center" wrapText="1"/>
    </xf>
    <xf numFmtId="44" fontId="7" fillId="0" borderId="1" xfId="2" applyFont="1" applyBorder="1" applyAlignment="1">
      <alignment horizontal="center" wrapText="1"/>
    </xf>
    <xf numFmtId="0" fontId="7" fillId="0" borderId="1" xfId="0" applyFont="1" applyBorder="1" applyAlignment="1">
      <alignment horizontal="center"/>
    </xf>
    <xf numFmtId="0" fontId="7" fillId="0" borderId="2" xfId="0" applyFont="1" applyBorder="1"/>
    <xf numFmtId="164" fontId="7" fillId="0" borderId="1" xfId="0" applyNumberFormat="1" applyFont="1" applyBorder="1" applyAlignment="1">
      <alignment horizontal="center"/>
    </xf>
    <xf numFmtId="44" fontId="7" fillId="8" borderId="1" xfId="2" applyFont="1" applyFill="1" applyBorder="1" applyAlignment="1">
      <alignment horizontal="center" vertical="center" wrapText="1"/>
    </xf>
    <xf numFmtId="14" fontId="15" fillId="2" borderId="1" xfId="0" applyNumberFormat="1" applyFont="1" applyFill="1" applyBorder="1" applyAlignment="1">
      <alignment horizontal="center" wrapText="1"/>
    </xf>
    <xf numFmtId="14" fontId="15" fillId="2" borderId="9" xfId="0" applyNumberFormat="1" applyFont="1" applyFill="1" applyBorder="1" applyAlignment="1">
      <alignment horizontal="center" vertical="top"/>
    </xf>
    <xf numFmtId="14" fontId="16" fillId="2" borderId="5" xfId="0" applyNumberFormat="1" applyFont="1" applyFill="1" applyBorder="1" applyAlignment="1">
      <alignment horizontal="center" wrapText="1"/>
    </xf>
    <xf numFmtId="14" fontId="15" fillId="2" borderId="5" xfId="0" applyNumberFormat="1" applyFont="1" applyFill="1" applyBorder="1" applyAlignment="1">
      <alignment horizontal="center" wrapText="1"/>
    </xf>
    <xf numFmtId="0" fontId="6" fillId="9" borderId="1" xfId="0" applyFont="1" applyFill="1" applyBorder="1" applyAlignment="1">
      <alignment horizontal="center"/>
    </xf>
    <xf numFmtId="14" fontId="7" fillId="9" borderId="1" xfId="0" applyNumberFormat="1" applyFont="1" applyFill="1" applyBorder="1" applyAlignment="1">
      <alignment horizontal="center" vertical="center" wrapText="1"/>
    </xf>
    <xf numFmtId="0" fontId="6" fillId="9" borderId="2" xfId="0" applyFont="1" applyFill="1" applyBorder="1"/>
    <xf numFmtId="164" fontId="6" fillId="9" borderId="1" xfId="0" applyNumberFormat="1" applyFont="1" applyFill="1" applyBorder="1" applyAlignment="1">
      <alignment horizontal="center"/>
    </xf>
    <xf numFmtId="165" fontId="7" fillId="9" borderId="5" xfId="0" applyNumberFormat="1" applyFont="1" applyFill="1" applyBorder="1" applyAlignment="1">
      <alignment horizontal="center" wrapText="1"/>
    </xf>
    <xf numFmtId="0" fontId="7" fillId="9" borderId="5" xfId="0" applyFont="1" applyFill="1" applyBorder="1" applyAlignment="1">
      <alignment horizontal="right" wrapText="1"/>
    </xf>
    <xf numFmtId="0" fontId="7" fillId="9" borderId="1" xfId="0" applyFont="1" applyFill="1" applyBorder="1" applyAlignment="1">
      <alignment horizontal="right" wrapText="1"/>
    </xf>
    <xf numFmtId="14" fontId="7" fillId="9" borderId="1" xfId="0" applyNumberFormat="1" applyFont="1" applyFill="1" applyBorder="1" applyAlignment="1">
      <alignment horizontal="center" wrapText="1"/>
    </xf>
    <xf numFmtId="1" fontId="7" fillId="9"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10" fillId="9" borderId="1" xfId="0" applyFont="1" applyFill="1" applyBorder="1" applyAlignment="1">
      <alignment horizontal="left" wrapText="1"/>
    </xf>
    <xf numFmtId="0" fontId="6" fillId="9" borderId="2" xfId="0" applyFont="1" applyFill="1" applyBorder="1" applyAlignment="1">
      <alignment wrapText="1"/>
    </xf>
    <xf numFmtId="0" fontId="11" fillId="9" borderId="1" xfId="0" applyFont="1" applyFill="1" applyBorder="1" applyAlignment="1">
      <alignment horizontal="left" wrapText="1"/>
    </xf>
    <xf numFmtId="0" fontId="6" fillId="9" borderId="1" xfId="0" applyFont="1" applyFill="1" applyBorder="1"/>
    <xf numFmtId="15" fontId="7" fillId="9" borderId="1" xfId="0" applyNumberFormat="1" applyFont="1" applyFill="1" applyBorder="1" applyAlignment="1">
      <alignment horizontal="center" vertical="center" wrapText="1"/>
    </xf>
    <xf numFmtId="0" fontId="6" fillId="10" borderId="1" xfId="0" applyFont="1" applyFill="1" applyBorder="1" applyAlignment="1">
      <alignment horizontal="center"/>
    </xf>
    <xf numFmtId="14" fontId="7" fillId="10" borderId="1" xfId="0" applyNumberFormat="1" applyFont="1" applyFill="1" applyBorder="1" applyAlignment="1">
      <alignment horizontal="center" vertical="center" wrapText="1"/>
    </xf>
    <xf numFmtId="0" fontId="6" fillId="10" borderId="2" xfId="0" applyFont="1" applyFill="1" applyBorder="1"/>
    <xf numFmtId="164" fontId="6" fillId="10" borderId="1" xfId="0" applyNumberFormat="1" applyFont="1" applyFill="1" applyBorder="1" applyAlignment="1">
      <alignment horizontal="center"/>
    </xf>
    <xf numFmtId="165" fontId="7" fillId="10" borderId="5" xfId="0" applyNumberFormat="1" applyFont="1" applyFill="1" applyBorder="1" applyAlignment="1">
      <alignment horizontal="center" wrapText="1"/>
    </xf>
    <xf numFmtId="0" fontId="7" fillId="10" borderId="5" xfId="0" applyFont="1" applyFill="1" applyBorder="1" applyAlignment="1">
      <alignment horizontal="right" wrapText="1"/>
    </xf>
    <xf numFmtId="0" fontId="7" fillId="10" borderId="1" xfId="0" applyFont="1" applyFill="1" applyBorder="1" applyAlignment="1">
      <alignment horizontal="right" wrapText="1"/>
    </xf>
    <xf numFmtId="14" fontId="7" fillId="10" borderId="1" xfId="0" applyNumberFormat="1" applyFont="1" applyFill="1" applyBorder="1" applyAlignment="1">
      <alignment horizontal="center" wrapText="1"/>
    </xf>
    <xf numFmtId="1" fontId="7" fillId="10" borderId="1" xfId="0" applyNumberFormat="1" applyFont="1" applyFill="1" applyBorder="1" applyAlignment="1">
      <alignment horizontal="center" vertical="center" wrapText="1"/>
    </xf>
    <xf numFmtId="15" fontId="7" fillId="10" borderId="1" xfId="0" applyNumberFormat="1" applyFont="1" applyFill="1" applyBorder="1" applyAlignment="1">
      <alignment horizontal="center" vertical="center" wrapText="1"/>
    </xf>
    <xf numFmtId="0" fontId="10" fillId="10" borderId="1" xfId="0" applyFont="1" applyFill="1" applyBorder="1" applyAlignment="1">
      <alignment horizontal="left" wrapText="1"/>
    </xf>
    <xf numFmtId="14" fontId="7" fillId="0" borderId="1" xfId="0" applyNumberFormat="1" applyFont="1" applyBorder="1" applyAlignment="1">
      <alignment horizontal="left" vertical="center" wrapText="1"/>
    </xf>
    <xf numFmtId="0" fontId="4" fillId="0" borderId="0" xfId="0" applyFont="1" applyAlignment="1">
      <alignment horizontal="center" wrapText="1"/>
    </xf>
    <xf numFmtId="0" fontId="4" fillId="0" borderId="1" xfId="0" applyFont="1" applyBorder="1" applyAlignment="1">
      <alignment horizontal="center" wrapText="1"/>
    </xf>
    <xf numFmtId="0" fontId="4" fillId="5" borderId="1" xfId="0" applyFont="1" applyFill="1" applyBorder="1" applyAlignment="1">
      <alignment wrapText="1"/>
    </xf>
    <xf numFmtId="0" fontId="4" fillId="0" borderId="1" xfId="0" applyFont="1" applyBorder="1" applyAlignment="1">
      <alignment wrapText="1"/>
    </xf>
    <xf numFmtId="0" fontId="4" fillId="3" borderId="1" xfId="0" applyFont="1" applyFill="1" applyBorder="1" applyAlignment="1">
      <alignment wrapText="1"/>
    </xf>
    <xf numFmtId="0" fontId="4" fillId="0" borderId="0" xfId="0" applyFont="1"/>
    <xf numFmtId="0" fontId="20" fillId="0" borderId="0" xfId="0" applyFont="1"/>
    <xf numFmtId="0" fontId="23" fillId="0" borderId="1" xfId="0" applyFont="1" applyBorder="1" applyAlignment="1">
      <alignment horizontal="center"/>
    </xf>
    <xf numFmtId="14" fontId="23" fillId="0" borderId="1" xfId="0" applyNumberFormat="1" applyFont="1" applyBorder="1" applyAlignment="1">
      <alignment horizontal="center" vertical="center" wrapText="1"/>
    </xf>
    <xf numFmtId="0" fontId="23" fillId="0" borderId="2" xfId="0" applyFont="1" applyBorder="1" applyAlignment="1">
      <alignment wrapText="1"/>
    </xf>
    <xf numFmtId="164" fontId="23" fillId="0" borderId="1" xfId="0" applyNumberFormat="1" applyFont="1" applyBorder="1" applyAlignment="1">
      <alignment horizontal="center"/>
    </xf>
    <xf numFmtId="165" fontId="23" fillId="0" borderId="5" xfId="0" applyNumberFormat="1" applyFont="1" applyBorder="1" applyAlignment="1">
      <alignment horizontal="center" wrapText="1"/>
    </xf>
    <xf numFmtId="0" fontId="23" fillId="0" borderId="5" xfId="0" applyFont="1" applyBorder="1" applyAlignment="1">
      <alignment horizontal="right" wrapText="1"/>
    </xf>
    <xf numFmtId="0" fontId="23" fillId="0" borderId="1" xfId="0" applyFont="1" applyBorder="1" applyAlignment="1">
      <alignment horizontal="right" wrapText="1"/>
    </xf>
    <xf numFmtId="14" fontId="23" fillId="0" borderId="1" xfId="0" applyNumberFormat="1" applyFont="1" applyBorder="1" applyAlignment="1">
      <alignment horizontal="center" wrapText="1"/>
    </xf>
    <xf numFmtId="44" fontId="23" fillId="0" borderId="1" xfId="2" applyFont="1" applyBorder="1" applyAlignment="1">
      <alignment horizontal="center" wrapText="1"/>
    </xf>
    <xf numFmtId="1" fontId="23" fillId="0" borderId="1" xfId="0" applyNumberFormat="1" applyFont="1" applyBorder="1" applyAlignment="1">
      <alignment horizontal="center" vertical="center" wrapText="1"/>
    </xf>
    <xf numFmtId="14" fontId="23" fillId="8" borderId="1" xfId="0" applyNumberFormat="1" applyFont="1" applyFill="1" applyBorder="1" applyAlignment="1">
      <alignment horizontal="center" vertical="center" wrapText="1"/>
    </xf>
    <xf numFmtId="1" fontId="23" fillId="8" borderId="1" xfId="0" applyNumberFormat="1" applyFont="1" applyFill="1" applyBorder="1" applyAlignment="1">
      <alignment horizontal="center" vertical="center" wrapText="1"/>
    </xf>
    <xf numFmtId="15" fontId="23" fillId="0" borderId="1" xfId="0" applyNumberFormat="1" applyFont="1" applyBorder="1" applyAlignment="1">
      <alignment horizontal="center" vertical="center" wrapText="1"/>
    </xf>
    <xf numFmtId="0" fontId="24" fillId="0" borderId="1" xfId="0" applyFont="1" applyBorder="1" applyAlignment="1">
      <alignment horizontal="left" wrapText="1"/>
    </xf>
    <xf numFmtId="0" fontId="25" fillId="0" borderId="1" xfId="0" applyFont="1" applyBorder="1" applyAlignment="1">
      <alignment horizontal="center" wrapText="1"/>
    </xf>
    <xf numFmtId="0" fontId="25" fillId="0" borderId="0" xfId="0" applyFont="1"/>
    <xf numFmtId="0" fontId="25" fillId="0" borderId="0" xfId="0" applyFont="1" applyAlignment="1">
      <alignment wrapText="1"/>
    </xf>
    <xf numFmtId="0" fontId="26" fillId="0" borderId="1" xfId="0" applyFont="1" applyBorder="1" applyAlignment="1">
      <alignment horizontal="center" vertical="center" wrapText="1"/>
    </xf>
    <xf numFmtId="0" fontId="26" fillId="0" borderId="1" xfId="0" applyFont="1" applyBorder="1" applyAlignment="1">
      <alignment horizontal="center"/>
    </xf>
    <xf numFmtId="14" fontId="26" fillId="0" borderId="1" xfId="0" applyNumberFormat="1" applyFont="1" applyBorder="1" applyAlignment="1">
      <alignment horizontal="center" vertical="center" wrapText="1"/>
    </xf>
    <xf numFmtId="0" fontId="26" fillId="7" borderId="2" xfId="0" applyFont="1" applyFill="1" applyBorder="1" applyAlignment="1">
      <alignment wrapText="1"/>
    </xf>
    <xf numFmtId="164" fontId="26" fillId="0" borderId="1" xfId="0" applyNumberFormat="1" applyFont="1" applyBorder="1" applyAlignment="1">
      <alignment horizontal="center"/>
    </xf>
    <xf numFmtId="165" fontId="26" fillId="0" borderId="5" xfId="0" applyNumberFormat="1" applyFont="1" applyBorder="1" applyAlignment="1">
      <alignment horizontal="center" wrapText="1"/>
    </xf>
    <xf numFmtId="0" fontId="26" fillId="0" borderId="5" xfId="0" applyFont="1" applyBorder="1" applyAlignment="1">
      <alignment horizontal="right" wrapText="1"/>
    </xf>
    <xf numFmtId="0" fontId="26" fillId="0" borderId="1" xfId="0" applyFont="1" applyBorder="1" applyAlignment="1">
      <alignment horizontal="right" wrapText="1"/>
    </xf>
    <xf numFmtId="14" fontId="26" fillId="0" borderId="1" xfId="0" applyNumberFormat="1" applyFont="1" applyBorder="1" applyAlignment="1">
      <alignment horizontal="center" wrapText="1"/>
    </xf>
    <xf numFmtId="44" fontId="26" fillId="0" borderId="1" xfId="2" applyFont="1" applyBorder="1" applyAlignment="1">
      <alignment horizontal="center" wrapText="1"/>
    </xf>
    <xf numFmtId="1" fontId="26" fillId="0" borderId="1" xfId="0" applyNumberFormat="1" applyFont="1" applyBorder="1" applyAlignment="1">
      <alignment horizontal="center" vertical="center" wrapText="1"/>
    </xf>
    <xf numFmtId="14" fontId="26" fillId="8" borderId="1" xfId="0" applyNumberFormat="1" applyFont="1" applyFill="1" applyBorder="1" applyAlignment="1">
      <alignment horizontal="center" vertical="center" wrapText="1"/>
    </xf>
    <xf numFmtId="1" fontId="26" fillId="8" borderId="1" xfId="0" applyNumberFormat="1" applyFont="1" applyFill="1" applyBorder="1" applyAlignment="1">
      <alignment horizontal="center" vertical="center" wrapText="1"/>
    </xf>
    <xf numFmtId="15" fontId="26" fillId="0" borderId="1" xfId="0" applyNumberFormat="1" applyFont="1" applyBorder="1" applyAlignment="1">
      <alignment horizontal="center" vertical="center" wrapText="1"/>
    </xf>
    <xf numFmtId="0" fontId="27" fillId="0" borderId="1" xfId="0" applyFont="1" applyBorder="1" applyAlignment="1">
      <alignment horizontal="left" wrapText="1"/>
    </xf>
    <xf numFmtId="0" fontId="28" fillId="0" borderId="1" xfId="0" applyFont="1" applyBorder="1" applyAlignment="1">
      <alignment horizontal="center" wrapText="1"/>
    </xf>
    <xf numFmtId="0" fontId="28" fillId="0" borderId="0" xfId="0" applyFont="1"/>
    <xf numFmtId="0" fontId="28" fillId="0" borderId="0" xfId="0" applyFont="1" applyAlignment="1">
      <alignment wrapText="1"/>
    </xf>
    <xf numFmtId="0" fontId="28" fillId="0" borderId="1" xfId="0" applyFont="1" applyBorder="1" applyAlignment="1">
      <alignment wrapText="1"/>
    </xf>
    <xf numFmtId="14" fontId="21" fillId="2" borderId="5" xfId="0" applyNumberFormat="1" applyFont="1" applyFill="1" applyBorder="1" applyAlignment="1">
      <alignment horizontal="center" wrapText="1"/>
    </xf>
    <xf numFmtId="8" fontId="1" fillId="0" borderId="0" xfId="2" applyNumberFormat="1" applyFont="1" applyAlignment="1">
      <alignment horizontal="center" vertical="center"/>
    </xf>
    <xf numFmtId="8" fontId="0" fillId="0" borderId="0" xfId="2" applyNumberFormat="1" applyFont="1"/>
    <xf numFmtId="15" fontId="7" fillId="0" borderId="1" xfId="0" applyNumberFormat="1" applyFont="1" applyBorder="1" applyAlignment="1">
      <alignment horizontal="center" vertical="center" wrapText="1"/>
      <extLst>
        <ext xmlns:xfpb="http://schemas.microsoft.com/office/spreadsheetml/2022/featurepropertybag" uri="{C7286773-470A-42A8-94C5-96B5CB345126}">
          <xfpb:xfComplement i="0"/>
        </ext>
      </extLst>
    </xf>
    <xf numFmtId="0" fontId="7" fillId="10" borderId="1" xfId="0" applyFont="1" applyFill="1" applyBorder="1" applyAlignment="1">
      <alignment horizontal="center" vertical="center" wrapText="1"/>
    </xf>
    <xf numFmtId="0" fontId="29" fillId="10" borderId="1" xfId="0" applyFont="1" applyFill="1" applyBorder="1" applyAlignment="1">
      <alignment horizontal="center"/>
    </xf>
    <xf numFmtId="14" fontId="29" fillId="10" borderId="1" xfId="0" applyNumberFormat="1" applyFont="1" applyFill="1" applyBorder="1" applyAlignment="1">
      <alignment horizontal="center" vertical="center" wrapText="1"/>
    </xf>
    <xf numFmtId="0" fontId="29" fillId="10" borderId="2" xfId="0" applyFont="1" applyFill="1" applyBorder="1"/>
    <xf numFmtId="164" fontId="29" fillId="10" borderId="1" xfId="0" applyNumberFormat="1" applyFont="1" applyFill="1" applyBorder="1" applyAlignment="1">
      <alignment horizontal="center"/>
    </xf>
    <xf numFmtId="165" fontId="29" fillId="10" borderId="5" xfId="0" applyNumberFormat="1" applyFont="1" applyFill="1" applyBorder="1" applyAlignment="1">
      <alignment horizontal="center" wrapText="1"/>
    </xf>
    <xf numFmtId="0" fontId="29" fillId="10" borderId="5" xfId="0" applyFont="1" applyFill="1" applyBorder="1" applyAlignment="1">
      <alignment horizontal="right" wrapText="1"/>
    </xf>
    <xf numFmtId="0" fontId="29" fillId="10" borderId="1" xfId="0" applyFont="1" applyFill="1" applyBorder="1" applyAlignment="1">
      <alignment horizontal="right" wrapText="1"/>
    </xf>
    <xf numFmtId="14" fontId="29" fillId="10" borderId="1" xfId="0" applyNumberFormat="1" applyFont="1" applyFill="1" applyBorder="1" applyAlignment="1">
      <alignment horizontal="center" wrapText="1"/>
    </xf>
    <xf numFmtId="1" fontId="29" fillId="10" borderId="1" xfId="0" applyNumberFormat="1"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7" fillId="10" borderId="1" xfId="0" applyFont="1" applyFill="1" applyBorder="1" applyAlignment="1">
      <alignment horizontal="left" wrapText="1"/>
    </xf>
    <xf numFmtId="44" fontId="7" fillId="0" borderId="1" xfId="2" applyFont="1" applyFill="1" applyBorder="1" applyAlignment="1">
      <alignment horizontal="center" vertical="center" wrapText="1"/>
    </xf>
    <xf numFmtId="1" fontId="17" fillId="0" borderId="1" xfId="0" applyNumberFormat="1" applyFont="1" applyBorder="1" applyAlignment="1">
      <alignment horizontal="center" vertical="center" wrapText="1"/>
    </xf>
    <xf numFmtId="0" fontId="6" fillId="5" borderId="1" xfId="0" applyFont="1" applyFill="1" applyBorder="1" applyAlignment="1">
      <alignment horizontal="center"/>
    </xf>
    <xf numFmtId="14" fontId="7" fillId="5" borderId="1" xfId="0" applyNumberFormat="1" applyFont="1" applyFill="1" applyBorder="1" applyAlignment="1">
      <alignment horizontal="center" vertical="center" wrapText="1"/>
    </xf>
    <xf numFmtId="0" fontId="6" fillId="5" borderId="2" xfId="0" applyFont="1" applyFill="1" applyBorder="1"/>
    <xf numFmtId="164" fontId="6" fillId="5" borderId="1" xfId="0" applyNumberFormat="1" applyFont="1" applyFill="1" applyBorder="1" applyAlignment="1">
      <alignment horizontal="center"/>
    </xf>
    <xf numFmtId="165" fontId="7" fillId="5" borderId="5" xfId="0" applyNumberFormat="1" applyFont="1" applyFill="1" applyBorder="1" applyAlignment="1">
      <alignment horizontal="center" wrapText="1"/>
    </xf>
    <xf numFmtId="0" fontId="7" fillId="5" borderId="5" xfId="0" applyFont="1" applyFill="1" applyBorder="1" applyAlignment="1">
      <alignment horizontal="right" wrapText="1"/>
    </xf>
    <xf numFmtId="0" fontId="7" fillId="5" borderId="1" xfId="0" applyFont="1" applyFill="1" applyBorder="1" applyAlignment="1">
      <alignment horizontal="right" wrapText="1"/>
    </xf>
    <xf numFmtId="14" fontId="7" fillId="5" borderId="1" xfId="0" applyNumberFormat="1" applyFont="1" applyFill="1" applyBorder="1" applyAlignment="1">
      <alignment horizontal="center" wrapText="1"/>
    </xf>
    <xf numFmtId="1"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10" fillId="5" borderId="1" xfId="0" applyFont="1" applyFill="1" applyBorder="1" applyAlignment="1">
      <alignment horizontal="left" wrapText="1"/>
    </xf>
    <xf numFmtId="0" fontId="3" fillId="2" borderId="5" xfId="0" applyFont="1" applyFill="1" applyBorder="1" applyAlignment="1">
      <alignment horizontal="center" wrapText="1"/>
    </xf>
    <xf numFmtId="0" fontId="3" fillId="2" borderId="1" xfId="0" applyFont="1" applyFill="1" applyBorder="1" applyAlignment="1">
      <alignment horizontal="center"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7" xfId="0" applyFont="1" applyBorder="1" applyAlignment="1">
      <alignment horizontal="left" wrapText="1"/>
    </xf>
    <xf numFmtId="0" fontId="4" fillId="0" borderId="0" xfId="0" applyFont="1" applyAlignment="1">
      <alignment horizontal="left" wrapText="1"/>
    </xf>
    <xf numFmtId="0" fontId="3"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14" fontId="3" fillId="2" borderId="9" xfId="0" applyNumberFormat="1" applyFont="1" applyFill="1" applyBorder="1" applyAlignment="1">
      <alignment horizontal="center" vertical="center" wrapText="1"/>
    </xf>
    <xf numFmtId="0" fontId="3" fillId="2" borderId="5" xfId="0" applyFont="1" applyFill="1" applyBorder="1" applyAlignment="1">
      <alignment horizontal="left" wrapText="1"/>
    </xf>
    <xf numFmtId="0" fontId="3" fillId="2" borderId="1" xfId="0" applyFont="1" applyFill="1" applyBorder="1" applyAlignment="1">
      <alignment horizontal="left" wrapText="1"/>
    </xf>
    <xf numFmtId="0" fontId="3" fillId="4" borderId="1" xfId="0" applyFont="1" applyFill="1" applyBorder="1" applyAlignment="1">
      <alignment horizontal="center" wrapText="1"/>
    </xf>
    <xf numFmtId="14" fontId="3" fillId="2" borderId="5" xfId="0" applyNumberFormat="1" applyFont="1" applyFill="1" applyBorder="1" applyAlignment="1">
      <alignment horizontal="center" wrapText="1"/>
    </xf>
    <xf numFmtId="14" fontId="3" fillId="2" borderId="1" xfId="0" applyNumberFormat="1" applyFont="1" applyFill="1" applyBorder="1" applyAlignment="1">
      <alignment horizontal="center" wrapText="1"/>
    </xf>
    <xf numFmtId="14" fontId="3" fillId="2" borderId="2" xfId="0" applyNumberFormat="1" applyFont="1" applyFill="1" applyBorder="1" applyAlignment="1">
      <alignment horizontal="center" wrapText="1"/>
    </xf>
    <xf numFmtId="14" fontId="3" fillId="2" borderId="9" xfId="0" applyNumberFormat="1" applyFont="1" applyFill="1" applyBorder="1" applyAlignment="1">
      <alignment horizontal="center" wrapText="1"/>
    </xf>
    <xf numFmtId="0" fontId="3" fillId="2" borderId="6" xfId="0" applyFont="1" applyFill="1" applyBorder="1" applyAlignment="1">
      <alignment horizontal="center" vertical="center" wrapText="1"/>
    </xf>
    <xf numFmtId="1" fontId="15" fillId="2" borderId="6" xfId="0" applyNumberFormat="1" applyFont="1" applyFill="1" applyBorder="1" applyAlignment="1">
      <alignment horizontal="center" vertical="center" wrapText="1"/>
    </xf>
    <xf numFmtId="1" fontId="15" fillId="2" borderId="5"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5" xfId="0" applyFont="1" applyFill="1" applyBorder="1" applyAlignment="1">
      <alignment horizontal="center"/>
    </xf>
    <xf numFmtId="0" fontId="3" fillId="2" borderId="1" xfId="0" applyFont="1" applyFill="1" applyBorder="1" applyAlignment="1">
      <alignment horizontal="center"/>
    </xf>
    <xf numFmtId="0" fontId="3" fillId="4" borderId="5" xfId="0" applyFont="1" applyFill="1" applyBorder="1" applyAlignment="1">
      <alignment horizontal="center" wrapText="1"/>
    </xf>
    <xf numFmtId="14" fontId="3" fillId="2" borderId="5"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 fontId="3" fillId="2" borderId="6" xfId="0" applyNumberFormat="1" applyFont="1" applyFill="1" applyBorder="1" applyAlignment="1">
      <alignment horizontal="center" vertical="center" wrapText="1"/>
    </xf>
    <xf numFmtId="44" fontId="7" fillId="5" borderId="1" xfId="2" applyFont="1" applyFill="1" applyBorder="1" applyAlignment="1">
      <alignment horizontal="center" vertical="center" wrapText="1"/>
    </xf>
  </cellXfs>
  <cellStyles count="3">
    <cellStyle name="Currency" xfId="2" builtinId="4"/>
    <cellStyle name="Normal" xfId="0" builtinId="0"/>
    <cellStyle name="Normal 2" xfId="1" xr:uid="{5C86476B-1A7F-46DA-8687-20DC53475781}"/>
  </cellStyles>
  <dxfs count="9">
    <dxf>
      <fill>
        <patternFill>
          <bgColor rgb="FFC00000"/>
        </patternFill>
      </fill>
    </dxf>
    <dxf>
      <fill>
        <patternFill>
          <bgColor theme="7" tint="0.59996337778862885"/>
        </patternFill>
      </fill>
    </dxf>
    <dxf>
      <fill>
        <patternFill>
          <bgColor rgb="FFFFFF00"/>
        </patternFill>
      </fill>
    </dxf>
    <dxf>
      <font>
        <color rgb="FFFF3300"/>
      </font>
    </dxf>
    <dxf>
      <fill>
        <patternFill>
          <bgColor rgb="FFC00000"/>
        </patternFill>
      </fill>
    </dxf>
    <dxf>
      <fill>
        <patternFill>
          <bgColor rgb="FFFFFF00"/>
        </patternFill>
      </fill>
    </dxf>
    <dxf>
      <font>
        <strike val="0"/>
        <color theme="0" tint="-0.499984740745262"/>
      </font>
      <fill>
        <patternFill>
          <bgColor theme="6" tint="0.59996337778862885"/>
        </patternFill>
      </fill>
    </dxf>
    <dxf>
      <fill>
        <patternFill>
          <bgColor theme="7" tint="0.59996337778862885"/>
        </patternFill>
      </fill>
    </dxf>
    <dxf>
      <fill>
        <patternFill>
          <bgColor rgb="FFFFFF00"/>
        </patternFill>
      </fill>
    </dxf>
  </dxfs>
  <tableStyles count="0" defaultTableStyle="TableStyleMedium2" defaultPivotStyle="PivotStyleLight16"/>
  <colors>
    <mruColors>
      <color rgb="FFFF3300"/>
      <color rgb="FF3304E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610F16-AEB0-4268-946A-BBE85178D547}">
  <we:reference id="wa104380526" version="1.0.33.0" store="en-US" storeType="OMEX"/>
  <we:alternateReferences>
    <we:reference id="WA104380526" version="1.0.33.0" store="WA104380526"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74F9-87AE-4AE4-AB87-C106176A5718}">
  <sheetPr>
    <pageSetUpPr fitToPage="1"/>
  </sheetPr>
  <dimension ref="A1:V60"/>
  <sheetViews>
    <sheetView zoomScale="70" zoomScaleNormal="70" zoomScaleSheetLayoutView="70" workbookViewId="0">
      <pane ySplit="4" topLeftCell="A5" activePane="bottomLeft" state="frozen"/>
      <selection pane="bottomLeft" activeCell="T17" sqref="T17"/>
    </sheetView>
  </sheetViews>
  <sheetFormatPr defaultColWidth="14.42578125" defaultRowHeight="23.25" x14ac:dyDescent="0.35"/>
  <cols>
    <col min="1" max="1" width="31.7109375" style="4" customWidth="1"/>
    <col min="2" max="2" width="17.28515625" style="2" customWidth="1"/>
    <col min="3" max="3" width="42.85546875" style="2" customWidth="1"/>
    <col min="4" max="5" width="39.42578125" style="2" hidden="1" customWidth="1"/>
    <col min="6" max="6" width="38.7109375" style="2" hidden="1" customWidth="1"/>
    <col min="7" max="7" width="28.28515625" style="2" hidden="1" customWidth="1"/>
    <col min="8" max="8" width="52.42578125" style="2" hidden="1" customWidth="1"/>
    <col min="9" max="10" width="18.42578125" style="44" customWidth="1"/>
    <col min="11" max="11" width="20.42578125" style="44" customWidth="1"/>
    <col min="12" max="12" width="17.85546875" style="44" customWidth="1"/>
    <col min="13" max="13" width="19.42578125" style="44" customWidth="1"/>
    <col min="14" max="14" width="18.42578125" style="55" customWidth="1"/>
    <col min="15" max="15" width="13" style="50" customWidth="1"/>
    <col min="16" max="16" width="21.85546875" style="50" customWidth="1"/>
    <col min="17" max="17" width="15.28515625" style="50" customWidth="1"/>
    <col min="18" max="18" width="22.28515625" style="30" customWidth="1"/>
    <col min="19" max="19" width="7.7109375" style="30" customWidth="1"/>
    <col min="20" max="20" width="70.7109375" style="2" customWidth="1"/>
    <col min="21" max="21" width="41.140625" style="108" customWidth="1"/>
    <col min="22" max="22" width="14.42578125" style="113"/>
    <col min="23" max="16384" width="14.42578125" style="2"/>
  </cols>
  <sheetData>
    <row r="1" spans="1:22" ht="25.9" customHeight="1" x14ac:dyDescent="0.35">
      <c r="A1" s="200" t="s">
        <v>41</v>
      </c>
      <c r="B1" s="201"/>
      <c r="C1" s="1" t="s">
        <v>2</v>
      </c>
      <c r="D1" s="31" t="s">
        <v>3</v>
      </c>
      <c r="E1" s="31" t="s">
        <v>3</v>
      </c>
      <c r="F1" s="31" t="s">
        <v>3</v>
      </c>
      <c r="G1" s="31" t="s">
        <v>3</v>
      </c>
      <c r="H1" s="31" t="s">
        <v>3</v>
      </c>
      <c r="I1" s="39" t="s">
        <v>3</v>
      </c>
      <c r="J1" s="51"/>
      <c r="K1" s="51"/>
      <c r="L1" s="51"/>
      <c r="M1" s="51"/>
      <c r="N1" s="51"/>
      <c r="O1" s="46"/>
      <c r="P1" s="46"/>
      <c r="Q1" s="46"/>
      <c r="R1" s="32"/>
      <c r="S1" s="32"/>
      <c r="T1" s="36"/>
      <c r="U1" s="36"/>
    </row>
    <row r="2" spans="1:22" ht="37.9" customHeight="1" x14ac:dyDescent="0.4">
      <c r="A2" s="200"/>
      <c r="B2" s="201"/>
      <c r="C2" s="3" t="s">
        <v>7</v>
      </c>
      <c r="D2" s="33" t="s">
        <v>6</v>
      </c>
      <c r="E2" s="33" t="s">
        <v>6</v>
      </c>
      <c r="F2" s="33" t="s">
        <v>6</v>
      </c>
      <c r="G2" s="33" t="s">
        <v>6</v>
      </c>
      <c r="H2" s="33" t="s">
        <v>6</v>
      </c>
      <c r="I2" s="40" t="s">
        <v>6</v>
      </c>
      <c r="J2" s="52"/>
      <c r="K2" s="52"/>
      <c r="L2" s="52"/>
      <c r="M2" s="52"/>
      <c r="N2" s="52"/>
      <c r="O2" s="47"/>
      <c r="P2" s="47"/>
      <c r="Q2" s="47"/>
      <c r="R2" s="34"/>
      <c r="S2" s="34"/>
      <c r="T2" s="37"/>
      <c r="U2" s="37"/>
    </row>
    <row r="3" spans="1:22" ht="22.9" customHeight="1" x14ac:dyDescent="0.35">
      <c r="A3" s="180" t="s">
        <v>39</v>
      </c>
      <c r="B3" s="180" t="s">
        <v>11</v>
      </c>
      <c r="C3" s="202" t="s">
        <v>40</v>
      </c>
      <c r="D3" s="204" t="s">
        <v>0</v>
      </c>
      <c r="E3" s="192" t="s">
        <v>1</v>
      </c>
      <c r="F3" s="23" t="s">
        <v>5</v>
      </c>
      <c r="G3" s="192" t="s">
        <v>8</v>
      </c>
      <c r="H3" s="192" t="s">
        <v>9</v>
      </c>
      <c r="I3" s="193" t="s">
        <v>12</v>
      </c>
      <c r="J3" s="77" t="s">
        <v>61</v>
      </c>
      <c r="K3" s="78" t="s">
        <v>63</v>
      </c>
      <c r="L3" s="195" t="s">
        <v>106</v>
      </c>
      <c r="M3" s="196"/>
      <c r="N3" s="188" t="s">
        <v>107</v>
      </c>
      <c r="O3" s="189"/>
      <c r="P3" s="198" t="s">
        <v>84</v>
      </c>
      <c r="Q3" s="198" t="s">
        <v>83</v>
      </c>
      <c r="R3" s="186" t="s">
        <v>143</v>
      </c>
      <c r="S3" s="197" t="s">
        <v>148</v>
      </c>
      <c r="T3" s="190" t="s">
        <v>27</v>
      </c>
      <c r="U3" s="180" t="s">
        <v>135</v>
      </c>
    </row>
    <row r="4" spans="1:22" ht="47.45" customHeight="1" x14ac:dyDescent="0.35">
      <c r="A4" s="181"/>
      <c r="B4" s="181"/>
      <c r="C4" s="203"/>
      <c r="D4" s="192"/>
      <c r="E4" s="192"/>
      <c r="F4" s="22" t="s">
        <v>4</v>
      </c>
      <c r="G4" s="192"/>
      <c r="H4" s="192"/>
      <c r="I4" s="194"/>
      <c r="J4" s="79" t="s">
        <v>64</v>
      </c>
      <c r="K4" s="80" t="s">
        <v>65</v>
      </c>
      <c r="L4" s="151" t="s">
        <v>110</v>
      </c>
      <c r="M4" s="57" t="s">
        <v>111</v>
      </c>
      <c r="N4" s="65" t="s">
        <v>109</v>
      </c>
      <c r="O4" s="66" t="s">
        <v>108</v>
      </c>
      <c r="P4" s="199"/>
      <c r="Q4" s="199"/>
      <c r="R4" s="187"/>
      <c r="S4" s="186"/>
      <c r="T4" s="191"/>
      <c r="U4" s="181" t="s">
        <v>134</v>
      </c>
    </row>
    <row r="5" spans="1:22" ht="48.75" x14ac:dyDescent="0.35">
      <c r="A5" s="6" t="s">
        <v>53</v>
      </c>
      <c r="B5" s="42">
        <v>45917</v>
      </c>
      <c r="C5" s="60" t="s">
        <v>54</v>
      </c>
      <c r="D5" s="13"/>
      <c r="E5" s="13"/>
      <c r="F5" s="8"/>
      <c r="G5" s="9"/>
      <c r="H5" s="10"/>
      <c r="I5" s="41">
        <f t="shared" ref="I5" si="0">IF(B5="","",B5+30)</f>
        <v>45947</v>
      </c>
      <c r="J5" s="41" t="s">
        <v>62</v>
      </c>
      <c r="K5" s="72">
        <v>82959</v>
      </c>
      <c r="L5" s="41"/>
      <c r="M5" s="48" t="str">
        <f t="shared" ref="M5" si="1">IF(L5&gt;0,L5-B5,"")</f>
        <v/>
      </c>
      <c r="N5" s="70">
        <v>46042</v>
      </c>
      <c r="O5" s="71">
        <f t="shared" ref="O5" ca="1" si="2">IF(AND(N5&gt;0,B5&gt;0),N5-B5,IF(AND(B5&gt;0,N5=""),TODAY()-B5,""))</f>
        <v>125</v>
      </c>
      <c r="P5" s="76"/>
      <c r="Q5" s="71"/>
      <c r="R5" s="38"/>
      <c r="S5" s="154" t="b">
        <v>1</v>
      </c>
      <c r="T5" s="35" t="s">
        <v>142</v>
      </c>
      <c r="U5" s="109" t="s">
        <v>146</v>
      </c>
    </row>
    <row r="6" spans="1:22" ht="38.25" x14ac:dyDescent="0.35">
      <c r="A6" s="6" t="s">
        <v>53</v>
      </c>
      <c r="B6" s="42">
        <v>46042</v>
      </c>
      <c r="C6" s="60" t="s">
        <v>54</v>
      </c>
      <c r="D6" s="13"/>
      <c r="E6" s="13"/>
      <c r="F6" s="8"/>
      <c r="G6" s="9"/>
      <c r="H6" s="10"/>
      <c r="I6" s="41">
        <f t="shared" ref="I6:I7" si="3">IF(B6="","",B6+30)</f>
        <v>46072</v>
      </c>
      <c r="J6" s="41" t="s">
        <v>62</v>
      </c>
      <c r="K6" s="72">
        <v>82959</v>
      </c>
      <c r="L6" s="41"/>
      <c r="M6" s="48" t="str">
        <f t="shared" ref="M6:M7" si="4">IF(L6&gt;0,L6-B6,"")</f>
        <v/>
      </c>
      <c r="N6" s="70">
        <v>46129</v>
      </c>
      <c r="O6" s="71">
        <f t="shared" ref="O6:O7" ca="1" si="5">IF(AND(N6&gt;0,B6&gt;0),N6-B6,IF(AND(B6&gt;0,N6=""),TODAY()-B6,""))</f>
        <v>87</v>
      </c>
      <c r="P6" s="76">
        <v>466575.96</v>
      </c>
      <c r="Q6" s="71"/>
      <c r="R6" s="38"/>
      <c r="S6" s="154" t="b">
        <v>1</v>
      </c>
      <c r="T6" s="35"/>
      <c r="U6" s="109" t="s">
        <v>146</v>
      </c>
    </row>
    <row r="7" spans="1:22" ht="38.25" x14ac:dyDescent="0.35">
      <c r="A7" s="6" t="s">
        <v>153</v>
      </c>
      <c r="B7" s="42">
        <v>46130</v>
      </c>
      <c r="C7" s="26" t="s">
        <v>54</v>
      </c>
      <c r="D7" s="13"/>
      <c r="E7" s="13"/>
      <c r="F7" s="8"/>
      <c r="G7" s="9"/>
      <c r="H7" s="10"/>
      <c r="I7" s="41">
        <f t="shared" si="3"/>
        <v>46160</v>
      </c>
      <c r="J7" s="41" t="s">
        <v>62</v>
      </c>
      <c r="K7" s="72">
        <v>82959</v>
      </c>
      <c r="L7" s="41">
        <v>46139</v>
      </c>
      <c r="M7" s="48">
        <f t="shared" si="4"/>
        <v>9</v>
      </c>
      <c r="N7" s="42"/>
      <c r="O7" s="48">
        <f t="shared" ca="1" si="5"/>
        <v>6</v>
      </c>
      <c r="P7" s="167"/>
      <c r="Q7" s="48"/>
      <c r="R7" s="38"/>
      <c r="S7" s="154" t="b">
        <v>0</v>
      </c>
      <c r="T7" s="35" t="s">
        <v>154</v>
      </c>
      <c r="U7" s="109" t="s">
        <v>146</v>
      </c>
    </row>
    <row r="8" spans="1:22" s="149" customFormat="1" x14ac:dyDescent="0.35">
      <c r="A8" s="133" t="s">
        <v>32</v>
      </c>
      <c r="B8" s="134">
        <v>46008</v>
      </c>
      <c r="C8" s="135" t="s">
        <v>26</v>
      </c>
      <c r="D8" s="136"/>
      <c r="E8" s="136"/>
      <c r="F8" s="137"/>
      <c r="G8" s="138"/>
      <c r="H8" s="139"/>
      <c r="I8" s="140">
        <f t="shared" ref="I8:I42" si="6">IF(B8="","",B8+30)</f>
        <v>46038</v>
      </c>
      <c r="J8" s="140" t="s">
        <v>62</v>
      </c>
      <c r="K8" s="141">
        <v>336790</v>
      </c>
      <c r="L8" s="140">
        <v>46115</v>
      </c>
      <c r="M8" s="142">
        <f t="shared" ref="M8:M13" si="7">IF(L8="N/A","N/A",IF(L8&gt;0,L8-B8,""))</f>
        <v>107</v>
      </c>
      <c r="N8" s="143"/>
      <c r="O8" s="144">
        <f t="shared" ref="O8:O42" ca="1" si="8">IF(AND(N8&gt;0,B8&gt;0),N8-B8,IF(AND(B8&gt;0,N8=""),TODAY()-B8,""))</f>
        <v>128</v>
      </c>
      <c r="P8" s="76"/>
      <c r="Q8" s="144"/>
      <c r="R8" s="145">
        <v>46052</v>
      </c>
      <c r="S8" s="154" t="b">
        <v>1</v>
      </c>
      <c r="T8" s="146" t="s">
        <v>123</v>
      </c>
      <c r="U8" s="147" t="s">
        <v>38</v>
      </c>
      <c r="V8" s="148"/>
    </row>
    <row r="9" spans="1:22" ht="33" x14ac:dyDescent="0.35">
      <c r="A9" s="6" t="s">
        <v>128</v>
      </c>
      <c r="B9" s="42">
        <v>46097</v>
      </c>
      <c r="C9" s="26" t="s">
        <v>26</v>
      </c>
      <c r="D9" s="13"/>
      <c r="E9" s="13"/>
      <c r="F9" s="8"/>
      <c r="G9" s="9"/>
      <c r="H9" s="10"/>
      <c r="I9" s="41">
        <f t="shared" si="6"/>
        <v>46127</v>
      </c>
      <c r="J9" s="41" t="s">
        <v>62</v>
      </c>
      <c r="K9" s="72">
        <v>336790</v>
      </c>
      <c r="L9" s="41">
        <v>46150</v>
      </c>
      <c r="M9" s="142">
        <f t="shared" si="7"/>
        <v>53</v>
      </c>
      <c r="N9" s="42"/>
      <c r="O9" s="48">
        <f t="shared" ca="1" si="8"/>
        <v>39</v>
      </c>
      <c r="P9" s="167"/>
      <c r="Q9" s="48"/>
      <c r="R9" s="38"/>
      <c r="S9" s="154" t="b">
        <v>0</v>
      </c>
      <c r="T9" s="35" t="s">
        <v>127</v>
      </c>
      <c r="U9" s="109"/>
    </row>
    <row r="10" spans="1:22" x14ac:dyDescent="0.35">
      <c r="A10" s="6" t="s">
        <v>33</v>
      </c>
      <c r="B10" s="42">
        <v>46035</v>
      </c>
      <c r="C10" s="60" t="s">
        <v>31</v>
      </c>
      <c r="D10" s="13"/>
      <c r="E10" s="13"/>
      <c r="F10" s="8"/>
      <c r="G10" s="9"/>
      <c r="H10" s="10"/>
      <c r="I10" s="41">
        <f t="shared" si="6"/>
        <v>46065</v>
      </c>
      <c r="J10" s="41" t="s">
        <v>62</v>
      </c>
      <c r="K10" s="72">
        <v>82600</v>
      </c>
      <c r="L10" s="41">
        <v>46080</v>
      </c>
      <c r="M10" s="48">
        <f t="shared" si="7"/>
        <v>45</v>
      </c>
      <c r="N10" s="70">
        <v>46079</v>
      </c>
      <c r="O10" s="71">
        <f t="shared" ca="1" si="8"/>
        <v>44</v>
      </c>
      <c r="P10" s="76">
        <v>215585.45</v>
      </c>
      <c r="Q10" s="71"/>
      <c r="R10" s="38"/>
      <c r="S10" s="154" t="b">
        <v>1</v>
      </c>
      <c r="T10" s="35"/>
      <c r="U10" s="109" t="s">
        <v>144</v>
      </c>
    </row>
    <row r="11" spans="1:22" x14ac:dyDescent="0.35">
      <c r="A11" s="6" t="s">
        <v>33</v>
      </c>
      <c r="B11" s="42">
        <v>46035</v>
      </c>
      <c r="C11" s="60" t="s">
        <v>31</v>
      </c>
      <c r="D11" s="13"/>
      <c r="E11" s="13"/>
      <c r="F11" s="8"/>
      <c r="G11" s="9"/>
      <c r="H11" s="10"/>
      <c r="I11" s="41">
        <f t="shared" ref="I11" si="9">IF(B11="","",B11+30)</f>
        <v>46065</v>
      </c>
      <c r="J11" s="41" t="s">
        <v>62</v>
      </c>
      <c r="K11" s="72">
        <v>82600</v>
      </c>
      <c r="L11" s="41">
        <v>46080</v>
      </c>
      <c r="M11" s="48">
        <f t="shared" ref="M11" si="10">IF(L11="N/A","N/A",IF(L11&gt;0,L11-B11,""))</f>
        <v>45</v>
      </c>
      <c r="N11" s="70">
        <v>46079</v>
      </c>
      <c r="O11" s="71">
        <f t="shared" ref="O11" ca="1" si="11">IF(AND(N11&gt;0,B11&gt;0),N11-B11,IF(AND(B11&gt;0,N11=""),TODAY()-B11,""))</f>
        <v>44</v>
      </c>
      <c r="P11" s="76">
        <v>215585.45</v>
      </c>
      <c r="Q11" s="71"/>
      <c r="R11" s="38"/>
      <c r="S11" s="154" t="b">
        <v>1</v>
      </c>
      <c r="T11" s="35"/>
      <c r="U11" s="109" t="s">
        <v>144</v>
      </c>
    </row>
    <row r="12" spans="1:22" x14ac:dyDescent="0.35">
      <c r="A12" s="6" t="s">
        <v>33</v>
      </c>
      <c r="B12" s="42">
        <v>46035</v>
      </c>
      <c r="C12" s="60" t="s">
        <v>31</v>
      </c>
      <c r="D12" s="13"/>
      <c r="E12" s="13"/>
      <c r="F12" s="8"/>
      <c r="G12" s="9"/>
      <c r="H12" s="10"/>
      <c r="I12" s="41">
        <f t="shared" ref="I12" si="12">IF(B12="","",B12+30)</f>
        <v>46065</v>
      </c>
      <c r="J12" s="41" t="s">
        <v>62</v>
      </c>
      <c r="K12" s="72">
        <v>82600</v>
      </c>
      <c r="L12" s="41">
        <v>46080</v>
      </c>
      <c r="M12" s="48">
        <f t="shared" ref="M12" si="13">IF(L12="N/A","N/A",IF(L12&gt;0,L12-B12,""))</f>
        <v>45</v>
      </c>
      <c r="N12" s="70">
        <v>46129</v>
      </c>
      <c r="O12" s="71">
        <f t="shared" ref="O12" ca="1" si="14">IF(AND(N12&gt;0,B12&gt;0),N12-B12,IF(AND(B12&gt;0,N12=""),TODAY()-B12,""))</f>
        <v>94</v>
      </c>
      <c r="P12" s="76">
        <v>244450.06</v>
      </c>
      <c r="Q12" s="71"/>
      <c r="R12" s="38"/>
      <c r="S12" s="154" t="b">
        <v>0</v>
      </c>
      <c r="T12" s="35" t="s">
        <v>155</v>
      </c>
      <c r="U12" s="109" t="s">
        <v>144</v>
      </c>
    </row>
    <row r="13" spans="1:22" x14ac:dyDescent="0.35">
      <c r="A13" s="6" t="s">
        <v>34</v>
      </c>
      <c r="B13" s="42">
        <v>46039</v>
      </c>
      <c r="C13" s="26" t="s">
        <v>37</v>
      </c>
      <c r="D13" s="13"/>
      <c r="E13" s="13"/>
      <c r="F13" s="8"/>
      <c r="G13" s="9"/>
      <c r="H13" s="10"/>
      <c r="I13" s="41">
        <f t="shared" si="6"/>
        <v>46069</v>
      </c>
      <c r="J13" s="41" t="s">
        <v>62</v>
      </c>
      <c r="K13" s="72">
        <v>162663</v>
      </c>
      <c r="L13" s="41">
        <v>46101</v>
      </c>
      <c r="M13" s="48">
        <f t="shared" si="7"/>
        <v>62</v>
      </c>
      <c r="N13" s="70">
        <v>46132</v>
      </c>
      <c r="O13" s="71">
        <f t="shared" ca="1" si="8"/>
        <v>93</v>
      </c>
      <c r="P13" s="76">
        <v>45352.76</v>
      </c>
      <c r="Q13" s="71"/>
      <c r="R13" s="38"/>
      <c r="S13" s="154" t="b">
        <v>1</v>
      </c>
      <c r="T13" s="35"/>
      <c r="U13" s="109" t="s">
        <v>144</v>
      </c>
      <c r="V13" s="114"/>
    </row>
    <row r="14" spans="1:22" ht="33" x14ac:dyDescent="0.35">
      <c r="A14" s="6" t="s">
        <v>158</v>
      </c>
      <c r="B14" s="42">
        <v>46135</v>
      </c>
      <c r="C14" s="26" t="s">
        <v>159</v>
      </c>
      <c r="D14" s="13"/>
      <c r="E14" s="13"/>
      <c r="F14" s="8"/>
      <c r="G14" s="9"/>
      <c r="H14" s="10"/>
      <c r="I14" s="41">
        <f t="shared" si="6"/>
        <v>46165</v>
      </c>
      <c r="J14" s="41" t="s">
        <v>160</v>
      </c>
      <c r="K14" s="72"/>
      <c r="L14" s="41"/>
      <c r="M14" s="48"/>
      <c r="N14" s="70"/>
      <c r="O14" s="71"/>
      <c r="P14" s="76"/>
      <c r="Q14" s="71"/>
      <c r="R14" s="38"/>
      <c r="S14" s="154" t="b">
        <v>0</v>
      </c>
      <c r="T14" s="35" t="s">
        <v>161</v>
      </c>
      <c r="U14" s="109"/>
      <c r="V14" s="114"/>
    </row>
    <row r="15" spans="1:22" s="131" customFormat="1" ht="38.25" x14ac:dyDescent="0.35">
      <c r="A15" s="115" t="s">
        <v>35</v>
      </c>
      <c r="B15" s="116">
        <v>46044</v>
      </c>
      <c r="C15" s="117" t="s">
        <v>55</v>
      </c>
      <c r="D15" s="118"/>
      <c r="E15" s="118"/>
      <c r="F15" s="119"/>
      <c r="G15" s="120"/>
      <c r="H15" s="121"/>
      <c r="I15" s="122">
        <f t="shared" si="6"/>
        <v>46074</v>
      </c>
      <c r="J15" s="122" t="s">
        <v>62</v>
      </c>
      <c r="K15" s="123">
        <v>98133</v>
      </c>
      <c r="L15" s="122" t="s">
        <v>38</v>
      </c>
      <c r="M15" s="124" t="str">
        <f>IF(L15="N/A","N/A",IF(L15&gt;0,L15-B15,""))</f>
        <v>N/A</v>
      </c>
      <c r="N15" s="125"/>
      <c r="O15" s="126">
        <f t="shared" ca="1" si="8"/>
        <v>92</v>
      </c>
      <c r="P15" s="76"/>
      <c r="Q15" s="126"/>
      <c r="R15" s="127"/>
      <c r="S15" s="154" t="b">
        <v>1</v>
      </c>
      <c r="T15" s="128" t="s">
        <v>130</v>
      </c>
      <c r="U15" s="129" t="s">
        <v>38</v>
      </c>
      <c r="V15" s="130"/>
    </row>
    <row r="16" spans="1:22" ht="48.75" x14ac:dyDescent="0.35">
      <c r="A16" s="6" t="s">
        <v>129</v>
      </c>
      <c r="B16" s="42">
        <v>46105</v>
      </c>
      <c r="C16" s="26" t="s">
        <v>55</v>
      </c>
      <c r="D16" s="13"/>
      <c r="E16" s="13"/>
      <c r="F16" s="8"/>
      <c r="G16" s="9"/>
      <c r="H16" s="10"/>
      <c r="I16" s="41">
        <f t="shared" si="6"/>
        <v>46135</v>
      </c>
      <c r="J16" s="41" t="s">
        <v>62</v>
      </c>
      <c r="K16" s="72">
        <v>98133</v>
      </c>
      <c r="L16" s="41">
        <v>46164</v>
      </c>
      <c r="M16" s="48">
        <f>IF(L16="N/A","N/A",IF(L16&gt;0,L16-B16,""))</f>
        <v>59</v>
      </c>
      <c r="N16" s="42"/>
      <c r="O16" s="48">
        <f t="shared" ca="1" si="8"/>
        <v>31</v>
      </c>
      <c r="P16" s="167"/>
      <c r="Q16" s="48"/>
      <c r="R16" s="38"/>
      <c r="S16" s="154" t="b">
        <v>0</v>
      </c>
      <c r="T16" s="35" t="s">
        <v>147</v>
      </c>
      <c r="U16" s="109" t="s">
        <v>141</v>
      </c>
    </row>
    <row r="17" spans="1:22" ht="33" x14ac:dyDescent="0.35">
      <c r="A17" s="6" t="s">
        <v>36</v>
      </c>
      <c r="B17" s="42">
        <v>46049</v>
      </c>
      <c r="C17" s="26" t="s">
        <v>50</v>
      </c>
      <c r="D17" s="13"/>
      <c r="E17" s="13"/>
      <c r="F17" s="8"/>
      <c r="G17" s="9"/>
      <c r="H17" s="10"/>
      <c r="I17" s="41">
        <f t="shared" si="6"/>
        <v>46079</v>
      </c>
      <c r="J17" s="41" t="s">
        <v>62</v>
      </c>
      <c r="K17" s="72">
        <v>51610</v>
      </c>
      <c r="L17" s="41">
        <v>46143</v>
      </c>
      <c r="M17" s="48">
        <f>IF(L17="N/A","N/A",IF(L17&gt;0,L17-B17,""))</f>
        <v>94</v>
      </c>
      <c r="N17" s="42"/>
      <c r="O17" s="168">
        <f t="shared" ca="1" si="8"/>
        <v>87</v>
      </c>
      <c r="P17" s="167"/>
      <c r="Q17" s="48"/>
      <c r="R17" s="38"/>
      <c r="S17" s="154" t="b">
        <v>0</v>
      </c>
      <c r="T17" s="35" t="s">
        <v>131</v>
      </c>
      <c r="U17" s="109"/>
    </row>
    <row r="18" spans="1:22" s="149" customFormat="1" x14ac:dyDescent="0.35">
      <c r="A18" s="133" t="s">
        <v>42</v>
      </c>
      <c r="B18" s="134">
        <v>46050</v>
      </c>
      <c r="C18" s="135" t="s">
        <v>43</v>
      </c>
      <c r="D18" s="136"/>
      <c r="E18" s="136"/>
      <c r="F18" s="137"/>
      <c r="G18" s="138"/>
      <c r="H18" s="139"/>
      <c r="I18" s="140">
        <f t="shared" ref="I18:I20" si="15">IF(B18="","",B18+30)</f>
        <v>46080</v>
      </c>
      <c r="J18" s="140" t="s">
        <v>62</v>
      </c>
      <c r="K18" s="141">
        <v>59000</v>
      </c>
      <c r="L18" s="140">
        <v>46080</v>
      </c>
      <c r="M18" s="142">
        <f t="shared" ref="M18:M31" si="16">IF(L18="N/A","N/A",IF(L18&gt;0,L18-B18,""))</f>
        <v>30</v>
      </c>
      <c r="N18" s="143">
        <v>46070</v>
      </c>
      <c r="O18" s="144">
        <f t="shared" ref="O18:O19" ca="1" si="17">IF(AND(N18&gt;0,B18&gt;0),N18-B18,IF(AND(B18&gt;0,N18=""),TODAY()-B18,""))</f>
        <v>20</v>
      </c>
      <c r="P18" s="76">
        <v>72529.61</v>
      </c>
      <c r="Q18" s="144"/>
      <c r="R18" s="145"/>
      <c r="S18" s="154" t="b">
        <v>1</v>
      </c>
      <c r="T18" s="146" t="s">
        <v>113</v>
      </c>
      <c r="U18" s="147" t="s">
        <v>38</v>
      </c>
      <c r="V18" s="148"/>
    </row>
    <row r="19" spans="1:22" s="149" customFormat="1" x14ac:dyDescent="0.35">
      <c r="A19" s="133" t="s">
        <v>152</v>
      </c>
      <c r="B19" s="134"/>
      <c r="C19" s="135" t="s">
        <v>112</v>
      </c>
      <c r="D19" s="136"/>
      <c r="E19" s="136"/>
      <c r="F19" s="137"/>
      <c r="G19" s="138"/>
      <c r="H19" s="139"/>
      <c r="I19" s="140" t="str">
        <f t="shared" si="15"/>
        <v/>
      </c>
      <c r="J19" s="140" t="s">
        <v>62</v>
      </c>
      <c r="K19" s="141">
        <v>59000</v>
      </c>
      <c r="L19" s="140">
        <v>46080</v>
      </c>
      <c r="M19" s="142">
        <f t="shared" ref="M19" si="18">IF(L19="N/A","N/A",IF(L19&gt;0,L19-B19,""))</f>
        <v>46080</v>
      </c>
      <c r="N19" s="143">
        <v>46079</v>
      </c>
      <c r="O19" s="144" t="str">
        <f t="shared" ca="1" si="17"/>
        <v/>
      </c>
      <c r="P19" s="76">
        <v>70662.320000000007</v>
      </c>
      <c r="Q19" s="144"/>
      <c r="R19" s="145"/>
      <c r="S19" s="154" t="b">
        <v>1</v>
      </c>
      <c r="T19" s="146"/>
      <c r="U19" s="147" t="s">
        <v>38</v>
      </c>
      <c r="V19" s="148"/>
    </row>
    <row r="20" spans="1:22" s="149" customFormat="1" x14ac:dyDescent="0.35">
      <c r="A20" s="133" t="s">
        <v>152</v>
      </c>
      <c r="B20" s="134"/>
      <c r="C20" s="135" t="s">
        <v>116</v>
      </c>
      <c r="D20" s="136"/>
      <c r="E20" s="136"/>
      <c r="F20" s="137"/>
      <c r="G20" s="138"/>
      <c r="H20" s="139"/>
      <c r="I20" s="140" t="str">
        <f t="shared" si="15"/>
        <v/>
      </c>
      <c r="J20" s="140" t="s">
        <v>62</v>
      </c>
      <c r="K20" s="141">
        <v>59000</v>
      </c>
      <c r="L20" s="140"/>
      <c r="M20" s="142"/>
      <c r="N20" s="143"/>
      <c r="O20" s="144"/>
      <c r="P20" s="76"/>
      <c r="Q20" s="144"/>
      <c r="R20" s="145"/>
      <c r="S20" s="154" t="b">
        <v>1</v>
      </c>
      <c r="T20" s="146"/>
      <c r="U20" s="147" t="s">
        <v>38</v>
      </c>
      <c r="V20" s="148"/>
    </row>
    <row r="21" spans="1:22" x14ac:dyDescent="0.35">
      <c r="A21" s="133" t="s">
        <v>152</v>
      </c>
      <c r="B21" s="42"/>
      <c r="C21" s="60" t="s">
        <v>117</v>
      </c>
      <c r="D21" s="13"/>
      <c r="E21" s="13"/>
      <c r="F21" s="8"/>
      <c r="G21" s="9"/>
      <c r="H21" s="10"/>
      <c r="I21" s="41" t="str">
        <f t="shared" si="6"/>
        <v/>
      </c>
      <c r="J21" s="41" t="s">
        <v>62</v>
      </c>
      <c r="K21" s="72">
        <v>59000</v>
      </c>
      <c r="L21" s="41"/>
      <c r="M21" s="48" t="str">
        <f t="shared" si="16"/>
        <v/>
      </c>
      <c r="N21" s="70">
        <v>46092</v>
      </c>
      <c r="O21" s="71" t="str">
        <f t="shared" ca="1" si="8"/>
        <v/>
      </c>
      <c r="P21" s="76">
        <v>69236.600000000006</v>
      </c>
      <c r="Q21" s="71"/>
      <c r="R21" s="38"/>
      <c r="S21" s="154" t="b">
        <v>1</v>
      </c>
      <c r="T21" s="35"/>
      <c r="U21" s="109" t="s">
        <v>144</v>
      </c>
    </row>
    <row r="22" spans="1:22" x14ac:dyDescent="0.35">
      <c r="A22" s="42" t="s">
        <v>152</v>
      </c>
      <c r="B22" s="42">
        <v>46114</v>
      </c>
      <c r="C22" s="60" t="s">
        <v>149</v>
      </c>
      <c r="D22" s="13"/>
      <c r="E22" s="13"/>
      <c r="F22" s="8"/>
      <c r="G22" s="9"/>
      <c r="H22" s="10"/>
      <c r="I22" s="41">
        <f t="shared" ref="I22" si="19">IF(B22="","",B22+30)</f>
        <v>46144</v>
      </c>
      <c r="J22" s="41" t="s">
        <v>62</v>
      </c>
      <c r="K22" s="72">
        <v>59000</v>
      </c>
      <c r="L22" s="41"/>
      <c r="M22" s="48" t="str">
        <f t="shared" ref="M22" si="20">IF(L22="N/A","N/A",IF(L22&gt;0,L22-B22,""))</f>
        <v/>
      </c>
      <c r="N22" s="70">
        <v>46132</v>
      </c>
      <c r="O22" s="71">
        <f t="shared" ref="O22" ca="1" si="21">IF(AND(N22&gt;0,B22&gt;0),N22-B22,IF(AND(B22&gt;0,N22=""),TODAY()-B22,""))</f>
        <v>18</v>
      </c>
      <c r="P22" s="76">
        <v>66962.929999999993</v>
      </c>
      <c r="Q22" s="71"/>
      <c r="R22" s="38"/>
      <c r="S22" s="154" t="b">
        <v>0</v>
      </c>
      <c r="T22" s="35"/>
      <c r="U22" s="109" t="s">
        <v>144</v>
      </c>
    </row>
    <row r="23" spans="1:22" x14ac:dyDescent="0.35">
      <c r="A23" s="6" t="s">
        <v>48</v>
      </c>
      <c r="B23" s="42">
        <v>46056</v>
      </c>
      <c r="C23" s="24" t="s">
        <v>49</v>
      </c>
      <c r="D23" s="13"/>
      <c r="E23" s="13"/>
      <c r="F23" s="8"/>
      <c r="G23" s="14"/>
      <c r="H23" s="10"/>
      <c r="I23" s="41">
        <f t="shared" si="6"/>
        <v>46086</v>
      </c>
      <c r="J23" s="41" t="s">
        <v>62</v>
      </c>
      <c r="K23" s="72">
        <v>1088500</v>
      </c>
      <c r="L23" s="41">
        <v>46092</v>
      </c>
      <c r="M23" s="48">
        <f t="shared" si="16"/>
        <v>36</v>
      </c>
      <c r="N23" s="70">
        <v>46098</v>
      </c>
      <c r="O23" s="71">
        <f t="shared" ca="1" si="8"/>
        <v>42</v>
      </c>
      <c r="P23" s="76">
        <v>1523668.78</v>
      </c>
      <c r="Q23" s="71"/>
      <c r="R23" s="28"/>
      <c r="S23" s="154" t="b">
        <v>1</v>
      </c>
      <c r="T23" s="35"/>
      <c r="U23" s="109" t="s">
        <v>144</v>
      </c>
    </row>
    <row r="24" spans="1:22" x14ac:dyDescent="0.35">
      <c r="A24" s="6" t="s">
        <v>48</v>
      </c>
      <c r="B24" s="42">
        <v>46114</v>
      </c>
      <c r="C24" s="24" t="s">
        <v>49</v>
      </c>
      <c r="D24" s="13"/>
      <c r="E24" s="13"/>
      <c r="F24" s="8"/>
      <c r="G24" s="14"/>
      <c r="H24" s="10"/>
      <c r="I24" s="41">
        <f t="shared" ref="I24" si="22">IF(B24="","",B24+30)</f>
        <v>46144</v>
      </c>
      <c r="J24" s="41" t="s">
        <v>62</v>
      </c>
      <c r="K24" s="72">
        <v>1088500</v>
      </c>
      <c r="L24" s="41">
        <v>46092</v>
      </c>
      <c r="M24" s="48">
        <f t="shared" ref="M24" si="23">IF(L24="N/A","N/A",IF(L24&gt;0,L24-B24,""))</f>
        <v>-22</v>
      </c>
      <c r="N24" s="70">
        <v>46129</v>
      </c>
      <c r="O24" s="71">
        <f t="shared" ref="O24" ca="1" si="24">IF(AND(N24&gt;0,B24&gt;0),N24-B24,IF(AND(B24&gt;0,N24=""),TODAY()-B24,""))</f>
        <v>15</v>
      </c>
      <c r="P24" s="76">
        <v>1515912.95</v>
      </c>
      <c r="Q24" s="71"/>
      <c r="R24" s="28"/>
      <c r="S24" s="154" t="b">
        <v>0</v>
      </c>
      <c r="T24" s="35"/>
      <c r="U24" s="109" t="s">
        <v>144</v>
      </c>
    </row>
    <row r="25" spans="1:22" x14ac:dyDescent="0.35">
      <c r="A25" s="6" t="s">
        <v>52</v>
      </c>
      <c r="B25" s="42">
        <v>46064</v>
      </c>
      <c r="C25" s="24" t="s">
        <v>51</v>
      </c>
      <c r="D25" s="13"/>
      <c r="E25" s="13"/>
      <c r="F25" s="8"/>
      <c r="G25" s="14"/>
      <c r="H25" s="10"/>
      <c r="I25" s="41">
        <v>46101</v>
      </c>
      <c r="J25" s="41" t="s">
        <v>62</v>
      </c>
      <c r="K25" s="72">
        <v>35000</v>
      </c>
      <c r="L25" s="41">
        <v>46099</v>
      </c>
      <c r="M25" s="48">
        <f t="shared" si="16"/>
        <v>35</v>
      </c>
      <c r="N25" s="70">
        <v>46132</v>
      </c>
      <c r="O25" s="71">
        <f t="shared" ca="1" si="8"/>
        <v>68</v>
      </c>
      <c r="P25" s="76">
        <v>82104.539999999994</v>
      </c>
      <c r="Q25" s="71"/>
      <c r="R25" s="28"/>
      <c r="S25" s="154" t="b">
        <v>0</v>
      </c>
      <c r="T25" s="35" t="s">
        <v>10</v>
      </c>
      <c r="U25" s="109" t="s">
        <v>144</v>
      </c>
      <c r="V25" s="114"/>
    </row>
    <row r="26" spans="1:22" x14ac:dyDescent="0.35">
      <c r="A26" s="73" t="s">
        <v>56</v>
      </c>
      <c r="B26" s="42">
        <v>46073</v>
      </c>
      <c r="C26" s="74" t="s">
        <v>60</v>
      </c>
      <c r="D26" s="75"/>
      <c r="E26" s="75"/>
      <c r="F26" s="8"/>
      <c r="G26" s="14"/>
      <c r="H26" s="10"/>
      <c r="I26" s="41">
        <f t="shared" si="6"/>
        <v>46103</v>
      </c>
      <c r="J26" s="41" t="s">
        <v>62</v>
      </c>
      <c r="K26" s="72">
        <v>18634</v>
      </c>
      <c r="L26" s="41">
        <v>46141</v>
      </c>
      <c r="M26" s="48">
        <f t="shared" si="16"/>
        <v>68</v>
      </c>
      <c r="N26" s="42"/>
      <c r="O26" s="48">
        <f t="shared" ca="1" si="8"/>
        <v>63</v>
      </c>
      <c r="P26" s="167"/>
      <c r="Q26" s="48"/>
      <c r="R26" s="132"/>
      <c r="S26" s="154" t="b">
        <v>0</v>
      </c>
      <c r="U26" s="109"/>
    </row>
    <row r="27" spans="1:22" x14ac:dyDescent="0.35">
      <c r="A27" s="73" t="s">
        <v>57</v>
      </c>
      <c r="B27" s="42">
        <v>46077</v>
      </c>
      <c r="C27" s="74" t="s">
        <v>59</v>
      </c>
      <c r="D27" s="75"/>
      <c r="E27" s="75"/>
      <c r="F27" s="8"/>
      <c r="G27" s="21"/>
      <c r="H27" s="10"/>
      <c r="I27" s="41">
        <f t="shared" si="6"/>
        <v>46107</v>
      </c>
      <c r="J27" s="41" t="s">
        <v>62</v>
      </c>
      <c r="K27" s="72">
        <v>8000</v>
      </c>
      <c r="L27" s="41">
        <v>46106</v>
      </c>
      <c r="M27" s="48">
        <f t="shared" si="16"/>
        <v>29</v>
      </c>
      <c r="N27" s="70">
        <v>46132</v>
      </c>
      <c r="O27" s="71">
        <f t="shared" ca="1" si="8"/>
        <v>55</v>
      </c>
      <c r="P27" s="76">
        <v>36934.46</v>
      </c>
      <c r="Q27" s="71"/>
      <c r="R27" s="28"/>
      <c r="S27" s="154" t="b">
        <v>0</v>
      </c>
      <c r="T27" s="35" t="s">
        <v>139</v>
      </c>
      <c r="U27" s="109" t="s">
        <v>136</v>
      </c>
    </row>
    <row r="28" spans="1:22" x14ac:dyDescent="0.35">
      <c r="A28" s="6" t="s">
        <v>124</v>
      </c>
      <c r="B28" s="42">
        <v>46098</v>
      </c>
      <c r="C28" s="24" t="s">
        <v>125</v>
      </c>
      <c r="D28" s="13"/>
      <c r="E28" s="13"/>
      <c r="F28" s="8"/>
      <c r="G28" s="14"/>
      <c r="H28" s="10"/>
      <c r="I28" s="41">
        <f t="shared" si="6"/>
        <v>46128</v>
      </c>
      <c r="J28" s="41" t="s">
        <v>126</v>
      </c>
      <c r="K28" s="72">
        <v>8000</v>
      </c>
      <c r="L28" s="41">
        <v>46143</v>
      </c>
      <c r="M28" s="48">
        <f t="shared" si="16"/>
        <v>45</v>
      </c>
      <c r="N28" s="42"/>
      <c r="O28" s="48">
        <f t="shared" ca="1" si="8"/>
        <v>38</v>
      </c>
      <c r="P28" s="167"/>
      <c r="Q28" s="48"/>
      <c r="R28" s="28"/>
      <c r="S28" s="154" t="b">
        <v>0</v>
      </c>
      <c r="T28" s="35" t="s">
        <v>10</v>
      </c>
      <c r="U28" s="109" t="s">
        <v>145</v>
      </c>
    </row>
    <row r="29" spans="1:22" x14ac:dyDescent="0.35">
      <c r="A29" s="6"/>
      <c r="B29" s="42"/>
      <c r="C29" s="24"/>
      <c r="D29" s="13"/>
      <c r="E29" s="13"/>
      <c r="F29" s="8"/>
      <c r="G29" s="14"/>
      <c r="H29" s="10"/>
      <c r="I29" s="41" t="str">
        <f t="shared" si="6"/>
        <v/>
      </c>
      <c r="J29" s="41"/>
      <c r="K29" s="41"/>
      <c r="L29" s="41"/>
      <c r="M29" s="48" t="str">
        <f t="shared" si="16"/>
        <v/>
      </c>
      <c r="N29" s="70"/>
      <c r="O29" s="71" t="str">
        <f t="shared" ca="1" si="8"/>
        <v/>
      </c>
      <c r="P29" s="76"/>
      <c r="Q29" s="71"/>
      <c r="R29" s="28"/>
      <c r="S29" s="154" t="b">
        <v>0</v>
      </c>
      <c r="T29" s="35" t="s">
        <v>10</v>
      </c>
      <c r="U29" s="109"/>
    </row>
    <row r="30" spans="1:22" x14ac:dyDescent="0.35">
      <c r="A30" s="6"/>
      <c r="B30" s="42"/>
      <c r="C30" s="24"/>
      <c r="D30" s="13"/>
      <c r="E30" s="13"/>
      <c r="F30" s="8"/>
      <c r="G30" s="14"/>
      <c r="H30" s="10"/>
      <c r="I30" s="41" t="str">
        <f t="shared" si="6"/>
        <v/>
      </c>
      <c r="J30" s="41"/>
      <c r="K30" s="41"/>
      <c r="L30" s="41"/>
      <c r="M30" s="48" t="str">
        <f t="shared" si="16"/>
        <v/>
      </c>
      <c r="N30" s="70"/>
      <c r="O30" s="71" t="str">
        <f t="shared" ca="1" si="8"/>
        <v/>
      </c>
      <c r="P30" s="71"/>
      <c r="Q30" s="71"/>
      <c r="R30" s="28"/>
      <c r="S30" s="154" t="b">
        <v>0</v>
      </c>
      <c r="T30" s="35" t="s">
        <v>10</v>
      </c>
      <c r="U30" s="109"/>
    </row>
    <row r="31" spans="1:22" x14ac:dyDescent="0.35">
      <c r="A31" s="6"/>
      <c r="B31" s="42"/>
      <c r="C31" s="24"/>
      <c r="D31" s="13"/>
      <c r="E31" s="13"/>
      <c r="F31" s="8"/>
      <c r="G31" s="14"/>
      <c r="H31" s="10"/>
      <c r="I31" s="41" t="str">
        <f t="shared" si="6"/>
        <v/>
      </c>
      <c r="J31" s="41"/>
      <c r="K31" s="41"/>
      <c r="L31" s="41"/>
      <c r="M31" s="48" t="str">
        <f t="shared" si="16"/>
        <v/>
      </c>
      <c r="N31" s="70"/>
      <c r="O31" s="71" t="str">
        <f t="shared" ca="1" si="8"/>
        <v/>
      </c>
      <c r="P31" s="71"/>
      <c r="Q31" s="71"/>
      <c r="R31" s="28"/>
      <c r="S31" s="154" t="b">
        <v>0</v>
      </c>
      <c r="T31" s="35" t="s">
        <v>10</v>
      </c>
      <c r="U31" s="109"/>
    </row>
    <row r="32" spans="1:22" x14ac:dyDescent="0.35">
      <c r="A32" s="6"/>
      <c r="B32" s="42"/>
      <c r="C32" s="24"/>
      <c r="D32" s="13"/>
      <c r="E32" s="13"/>
      <c r="F32" s="8"/>
      <c r="G32" s="14"/>
      <c r="H32" s="10"/>
      <c r="I32" s="41" t="str">
        <f t="shared" si="6"/>
        <v/>
      </c>
      <c r="J32" s="41"/>
      <c r="K32" s="41"/>
      <c r="L32" s="41"/>
      <c r="M32" s="48" t="str">
        <f t="shared" ref="M32:M42" si="25">IF(L32&gt;0,L32-B32,"")</f>
        <v/>
      </c>
      <c r="N32" s="70"/>
      <c r="O32" s="71" t="str">
        <f t="shared" ca="1" si="8"/>
        <v/>
      </c>
      <c r="P32" s="71"/>
      <c r="Q32" s="71"/>
      <c r="R32" s="28"/>
      <c r="S32" s="154" t="b">
        <v>0</v>
      </c>
      <c r="T32" s="35" t="s">
        <v>10</v>
      </c>
      <c r="U32" s="109"/>
    </row>
    <row r="33" spans="1:21" x14ac:dyDescent="0.35">
      <c r="A33" s="6"/>
      <c r="B33" s="42"/>
      <c r="C33" s="24"/>
      <c r="D33" s="13"/>
      <c r="E33" s="13"/>
      <c r="F33" s="8"/>
      <c r="G33" s="14"/>
      <c r="H33" s="10"/>
      <c r="I33" s="41" t="str">
        <f t="shared" si="6"/>
        <v/>
      </c>
      <c r="J33" s="41"/>
      <c r="K33" s="41"/>
      <c r="L33" s="41"/>
      <c r="M33" s="48" t="str">
        <f t="shared" si="25"/>
        <v/>
      </c>
      <c r="N33" s="70"/>
      <c r="O33" s="71" t="str">
        <f t="shared" ca="1" si="8"/>
        <v/>
      </c>
      <c r="P33" s="71"/>
      <c r="Q33" s="71"/>
      <c r="R33" s="28"/>
      <c r="S33" s="154" t="b">
        <v>0</v>
      </c>
      <c r="T33" s="35" t="s">
        <v>10</v>
      </c>
      <c r="U33" s="109"/>
    </row>
    <row r="34" spans="1:21" ht="24.6" customHeight="1" x14ac:dyDescent="0.35">
      <c r="A34" s="6"/>
      <c r="B34" s="42"/>
      <c r="C34" s="24"/>
      <c r="D34" s="13"/>
      <c r="E34" s="13"/>
      <c r="F34" s="8"/>
      <c r="G34" s="14"/>
      <c r="H34" s="10"/>
      <c r="I34" s="41" t="str">
        <f t="shared" si="6"/>
        <v/>
      </c>
      <c r="J34" s="41"/>
      <c r="K34" s="41"/>
      <c r="L34" s="41"/>
      <c r="M34" s="48" t="str">
        <f t="shared" si="25"/>
        <v/>
      </c>
      <c r="N34" s="70"/>
      <c r="O34" s="71" t="str">
        <f t="shared" ca="1" si="8"/>
        <v/>
      </c>
      <c r="P34" s="71"/>
      <c r="Q34" s="71"/>
      <c r="R34" s="28"/>
      <c r="S34" s="154" t="b">
        <v>0</v>
      </c>
      <c r="T34" s="35" t="s">
        <v>10</v>
      </c>
      <c r="U34" s="109"/>
    </row>
    <row r="35" spans="1:21" ht="24.6" customHeight="1" x14ac:dyDescent="0.35">
      <c r="A35" s="6"/>
      <c r="B35" s="42"/>
      <c r="C35" s="24"/>
      <c r="D35" s="13"/>
      <c r="E35" s="13"/>
      <c r="F35" s="8"/>
      <c r="G35" s="9"/>
      <c r="H35" s="10"/>
      <c r="I35" s="41" t="str">
        <f t="shared" si="6"/>
        <v/>
      </c>
      <c r="J35" s="41"/>
      <c r="K35" s="41"/>
      <c r="L35" s="41"/>
      <c r="M35" s="48" t="str">
        <f t="shared" si="25"/>
        <v/>
      </c>
      <c r="N35" s="70"/>
      <c r="O35" s="71" t="str">
        <f t="shared" ca="1" si="8"/>
        <v/>
      </c>
      <c r="P35" s="71"/>
      <c r="Q35" s="71"/>
      <c r="R35" s="28"/>
      <c r="S35" s="154" t="b">
        <v>0</v>
      </c>
      <c r="T35" s="35" t="s">
        <v>10</v>
      </c>
      <c r="U35" s="109"/>
    </row>
    <row r="36" spans="1:21" ht="24.6" customHeight="1" x14ac:dyDescent="0.35">
      <c r="A36" s="6"/>
      <c r="B36" s="42"/>
      <c r="C36" s="24"/>
      <c r="D36" s="13"/>
      <c r="E36" s="13"/>
      <c r="F36" s="8"/>
      <c r="G36" s="9"/>
      <c r="H36" s="10"/>
      <c r="I36" s="41" t="str">
        <f t="shared" si="6"/>
        <v/>
      </c>
      <c r="J36" s="41"/>
      <c r="K36" s="41"/>
      <c r="L36" s="41"/>
      <c r="M36" s="48" t="str">
        <f t="shared" si="25"/>
        <v/>
      </c>
      <c r="N36" s="70"/>
      <c r="O36" s="71" t="str">
        <f t="shared" ca="1" si="8"/>
        <v/>
      </c>
      <c r="P36" s="71"/>
      <c r="Q36" s="71"/>
      <c r="R36" s="28"/>
      <c r="S36" s="28"/>
      <c r="T36" s="35" t="s">
        <v>10</v>
      </c>
      <c r="U36" s="109"/>
    </row>
    <row r="37" spans="1:21" ht="24.6" customHeight="1" x14ac:dyDescent="0.35">
      <c r="A37" s="6"/>
      <c r="B37" s="42"/>
      <c r="C37" s="24"/>
      <c r="D37" s="13"/>
      <c r="E37" s="13"/>
      <c r="F37" s="8"/>
      <c r="G37" s="9"/>
      <c r="H37" s="10"/>
      <c r="I37" s="41" t="str">
        <f t="shared" si="6"/>
        <v/>
      </c>
      <c r="J37" s="41"/>
      <c r="K37" s="41"/>
      <c r="L37" s="41"/>
      <c r="M37" s="48" t="str">
        <f t="shared" si="25"/>
        <v/>
      </c>
      <c r="N37" s="70"/>
      <c r="O37" s="71" t="str">
        <f t="shared" ca="1" si="8"/>
        <v/>
      </c>
      <c r="P37" s="71"/>
      <c r="Q37" s="71"/>
      <c r="R37" s="28"/>
      <c r="S37" s="28"/>
      <c r="T37" s="35" t="s">
        <v>10</v>
      </c>
      <c r="U37" s="109"/>
    </row>
    <row r="38" spans="1:21" ht="24.6" customHeight="1" x14ac:dyDescent="0.35">
      <c r="A38" s="6"/>
      <c r="B38" s="42"/>
      <c r="C38" s="24"/>
      <c r="D38" s="13"/>
      <c r="E38" s="13"/>
      <c r="F38" s="8"/>
      <c r="G38" s="9"/>
      <c r="H38" s="10"/>
      <c r="I38" s="41" t="str">
        <f t="shared" si="6"/>
        <v/>
      </c>
      <c r="J38" s="41"/>
      <c r="K38" s="41"/>
      <c r="L38" s="59"/>
      <c r="M38" s="58" t="str">
        <f t="shared" si="25"/>
        <v/>
      </c>
      <c r="N38" s="70"/>
      <c r="O38" s="71" t="str">
        <f t="shared" ca="1" si="8"/>
        <v/>
      </c>
      <c r="P38" s="71"/>
      <c r="Q38" s="71"/>
      <c r="R38" s="28"/>
      <c r="S38" s="28"/>
      <c r="T38" s="35" t="s">
        <v>10</v>
      </c>
      <c r="U38" s="109"/>
    </row>
    <row r="39" spans="1:21" ht="24.6" customHeight="1" x14ac:dyDescent="0.35">
      <c r="A39" s="6"/>
      <c r="B39" s="42"/>
      <c r="C39" s="24"/>
      <c r="D39" s="13"/>
      <c r="E39" s="13"/>
      <c r="F39" s="8"/>
      <c r="G39" s="9"/>
      <c r="H39" s="10"/>
      <c r="I39" s="41" t="str">
        <f t="shared" si="6"/>
        <v/>
      </c>
      <c r="J39" s="41"/>
      <c r="K39" s="41"/>
      <c r="L39" s="59"/>
      <c r="M39" s="58" t="str">
        <f t="shared" si="25"/>
        <v/>
      </c>
      <c r="N39" s="70"/>
      <c r="O39" s="71" t="str">
        <f t="shared" ca="1" si="8"/>
        <v/>
      </c>
      <c r="P39" s="71"/>
      <c r="Q39" s="71"/>
      <c r="R39" s="28"/>
      <c r="S39" s="28"/>
      <c r="T39" s="35" t="s">
        <v>10</v>
      </c>
      <c r="U39" s="109"/>
    </row>
    <row r="40" spans="1:21" ht="24.6" customHeight="1" x14ac:dyDescent="0.35">
      <c r="A40" s="6"/>
      <c r="B40" s="42"/>
      <c r="C40" s="24"/>
      <c r="D40" s="13"/>
      <c r="E40" s="13"/>
      <c r="F40" s="8"/>
      <c r="G40" s="9"/>
      <c r="H40" s="10"/>
      <c r="I40" s="41" t="str">
        <f t="shared" si="6"/>
        <v/>
      </c>
      <c r="J40" s="41"/>
      <c r="K40" s="41"/>
      <c r="L40" s="59"/>
      <c r="M40" s="58" t="str">
        <f t="shared" si="25"/>
        <v/>
      </c>
      <c r="N40" s="70"/>
      <c r="O40" s="71" t="str">
        <f t="shared" ca="1" si="8"/>
        <v/>
      </c>
      <c r="P40" s="71"/>
      <c r="Q40" s="71"/>
      <c r="R40" s="28"/>
      <c r="S40" s="28"/>
      <c r="T40" s="35" t="s">
        <v>10</v>
      </c>
      <c r="U40" s="109"/>
    </row>
    <row r="41" spans="1:21" ht="24.6" customHeight="1" x14ac:dyDescent="0.35">
      <c r="A41" s="6"/>
      <c r="B41" s="42"/>
      <c r="C41" s="24"/>
      <c r="D41" s="13"/>
      <c r="E41" s="13"/>
      <c r="F41" s="8"/>
      <c r="G41" s="9"/>
      <c r="H41" s="10"/>
      <c r="I41" s="41" t="str">
        <f t="shared" si="6"/>
        <v/>
      </c>
      <c r="J41" s="41"/>
      <c r="K41" s="41"/>
      <c r="L41" s="59"/>
      <c r="M41" s="58" t="str">
        <f t="shared" si="25"/>
        <v/>
      </c>
      <c r="N41" s="70"/>
      <c r="O41" s="71" t="str">
        <f t="shared" ca="1" si="8"/>
        <v/>
      </c>
      <c r="P41" s="71"/>
      <c r="Q41" s="71"/>
      <c r="R41" s="28"/>
      <c r="S41" s="28"/>
      <c r="T41" s="35" t="s">
        <v>10</v>
      </c>
      <c r="U41" s="109"/>
    </row>
    <row r="42" spans="1:21" ht="24.6" customHeight="1" x14ac:dyDescent="0.35">
      <c r="A42" s="6"/>
      <c r="B42" s="42"/>
      <c r="C42" s="24"/>
      <c r="D42" s="13"/>
      <c r="E42" s="13"/>
      <c r="F42" s="8"/>
      <c r="G42" s="9"/>
      <c r="H42" s="10"/>
      <c r="I42" s="41" t="str">
        <f t="shared" si="6"/>
        <v/>
      </c>
      <c r="J42" s="41"/>
      <c r="K42" s="41"/>
      <c r="L42" s="59"/>
      <c r="M42" s="58" t="str">
        <f t="shared" si="25"/>
        <v/>
      </c>
      <c r="N42" s="70"/>
      <c r="O42" s="71" t="str">
        <f t="shared" ca="1" si="8"/>
        <v/>
      </c>
      <c r="P42" s="71"/>
      <c r="Q42" s="71"/>
      <c r="R42" s="28"/>
      <c r="S42" s="28"/>
      <c r="T42" s="35" t="s">
        <v>10</v>
      </c>
      <c r="U42" s="109"/>
    </row>
    <row r="43" spans="1:21" ht="24.6" customHeight="1" x14ac:dyDescent="0.35">
      <c r="A43" s="6"/>
      <c r="B43" s="7"/>
      <c r="C43" s="24"/>
      <c r="D43" s="13" t="str">
        <f>IF(ISBLANK(B43),"",B43+14)</f>
        <v/>
      </c>
      <c r="E43" s="13"/>
      <c r="F43" s="8"/>
      <c r="G43" s="9" t="str">
        <f ca="1">IF(ISBLANK(B43),"",IF(ISBLANK(E43),TODAY()-B43,E43-B43))</f>
        <v/>
      </c>
      <c r="H43" s="10" t="str">
        <f>IF(ISBLANK(B43),"",IF(ISBLANK(E43),"Open","Closed"))</f>
        <v/>
      </c>
      <c r="I43" s="41"/>
      <c r="J43" s="41"/>
      <c r="K43" s="41"/>
      <c r="L43" s="41"/>
      <c r="M43" s="41"/>
      <c r="N43" s="70"/>
      <c r="O43" s="71"/>
      <c r="P43" s="71"/>
      <c r="Q43" s="71"/>
      <c r="R43" s="28"/>
      <c r="S43" s="28"/>
      <c r="T43" s="35" t="s">
        <v>10</v>
      </c>
      <c r="U43" s="109"/>
    </row>
    <row r="44" spans="1:21" ht="24.6" customHeight="1" x14ac:dyDescent="0.35">
      <c r="A44" s="6"/>
      <c r="B44" s="7"/>
      <c r="C44" s="24"/>
      <c r="D44" s="13" t="str">
        <f>IF(ISBLANK(B44),"",B44+14)</f>
        <v/>
      </c>
      <c r="E44" s="13"/>
      <c r="F44" s="8"/>
      <c r="G44" s="9" t="str">
        <f ca="1">IF(ISBLANK(B44),"",IF(ISBLANK(E44),TODAY()-B44,E44-B44))</f>
        <v/>
      </c>
      <c r="H44" s="10" t="str">
        <f>IF(ISBLANK(B44),"",IF(ISBLANK(E44),"Open","Closed"))</f>
        <v/>
      </c>
      <c r="I44" s="41"/>
      <c r="J44" s="41"/>
      <c r="K44" s="41"/>
      <c r="L44" s="41"/>
      <c r="M44" s="41"/>
      <c r="N44" s="70"/>
      <c r="O44" s="71"/>
      <c r="P44" s="71"/>
      <c r="Q44" s="71"/>
      <c r="R44" s="28"/>
      <c r="S44" s="28"/>
      <c r="T44" s="35" t="s">
        <v>10</v>
      </c>
      <c r="U44" s="109"/>
    </row>
    <row r="45" spans="1:21" ht="24.6" customHeight="1" x14ac:dyDescent="0.35">
      <c r="A45" s="6"/>
      <c r="B45" s="7"/>
      <c r="C45" s="24"/>
      <c r="D45" s="13" t="str">
        <f>IF(ISBLANK(B45),"",B45+14)</f>
        <v/>
      </c>
      <c r="E45" s="13"/>
      <c r="F45" s="8"/>
      <c r="G45" s="9" t="str">
        <f ca="1">IF(ISBLANK(B45),"",IF(ISBLANK(E45),TODAY()-B45,E45-B45))</f>
        <v/>
      </c>
      <c r="H45" s="10" t="str">
        <f>IF(ISBLANK(B45),"",IF(ISBLANK(E45),"Open","Closed"))</f>
        <v/>
      </c>
      <c r="I45" s="41"/>
      <c r="J45" s="41"/>
      <c r="K45" s="41"/>
      <c r="L45" s="41"/>
      <c r="M45" s="41"/>
      <c r="N45" s="70"/>
      <c r="O45" s="71"/>
      <c r="P45" s="71"/>
      <c r="Q45" s="71"/>
      <c r="R45" s="28"/>
      <c r="S45" s="28"/>
      <c r="T45" s="35" t="s">
        <v>10</v>
      </c>
      <c r="U45" s="109"/>
    </row>
    <row r="46" spans="1:21" ht="24.6" customHeight="1" x14ac:dyDescent="0.35">
      <c r="A46" s="6"/>
      <c r="B46" s="7"/>
      <c r="C46" s="24"/>
      <c r="D46" s="13" t="str">
        <f>IF(ISBLANK(B46),"",B46+14)</f>
        <v/>
      </c>
      <c r="E46" s="13"/>
      <c r="F46" s="8"/>
      <c r="G46" s="9" t="str">
        <f ca="1">IF(ISBLANK(B46),"",IF(ISBLANK(E46),TODAY()-B46,E46-B46))</f>
        <v/>
      </c>
      <c r="H46" s="10" t="str">
        <f>IF(ISBLANK(B46),"",IF(ISBLANK(E46),"Open","Closed"))</f>
        <v/>
      </c>
      <c r="I46" s="41"/>
      <c r="J46" s="41"/>
      <c r="K46" s="41"/>
      <c r="L46" s="41"/>
      <c r="M46" s="41"/>
      <c r="N46" s="70"/>
      <c r="O46" s="71"/>
      <c r="P46" s="71"/>
      <c r="Q46" s="71"/>
      <c r="R46" s="28"/>
      <c r="S46" s="28"/>
      <c r="T46" s="35" t="s">
        <v>10</v>
      </c>
      <c r="U46" s="109"/>
    </row>
    <row r="47" spans="1:21" x14ac:dyDescent="0.35">
      <c r="A47" s="6"/>
      <c r="B47" s="7"/>
      <c r="C47" s="24"/>
      <c r="D47" s="13" t="str">
        <f>IF(ISBLANK(B47),"",B47+14)</f>
        <v/>
      </c>
      <c r="E47" s="13"/>
      <c r="F47" s="8"/>
      <c r="G47" s="9" t="str">
        <f ca="1">IF(ISBLANK(B47),"",IF(ISBLANK(E47),TODAY()-B47,E47-B47))</f>
        <v/>
      </c>
      <c r="H47" s="10" t="str">
        <f>IF(ISBLANK(B47),"",IF(ISBLANK(E47),"Open","Closed"))</f>
        <v/>
      </c>
      <c r="I47" s="41"/>
      <c r="J47" s="41"/>
      <c r="K47" s="41"/>
      <c r="L47" s="41"/>
      <c r="M47" s="41"/>
      <c r="N47" s="70"/>
      <c r="O47" s="71"/>
      <c r="P47" s="71"/>
      <c r="Q47" s="71"/>
      <c r="R47" s="28"/>
      <c r="S47" s="28"/>
      <c r="T47" s="35" t="s">
        <v>10</v>
      </c>
      <c r="U47" s="109"/>
    </row>
    <row r="48" spans="1:21" x14ac:dyDescent="0.35">
      <c r="A48" s="15"/>
      <c r="B48" s="16"/>
      <c r="C48" s="17"/>
      <c r="D48" s="18"/>
      <c r="E48" s="18"/>
      <c r="F48" s="19"/>
      <c r="G48" s="20"/>
      <c r="H48" s="20"/>
      <c r="I48" s="43"/>
      <c r="J48" s="43"/>
      <c r="K48" s="43"/>
      <c r="L48" s="43"/>
      <c r="M48" s="43"/>
      <c r="N48" s="54"/>
      <c r="O48" s="49"/>
      <c r="P48" s="49"/>
      <c r="Q48" s="49"/>
      <c r="R48" s="29"/>
      <c r="S48" s="29"/>
      <c r="T48" s="35"/>
    </row>
    <row r="49" spans="1:20" x14ac:dyDescent="0.35">
      <c r="T49" s="35"/>
    </row>
    <row r="50" spans="1:20" ht="24" customHeight="1" x14ac:dyDescent="0.35">
      <c r="A50" s="182"/>
      <c r="B50" s="183"/>
      <c r="C50" s="183"/>
      <c r="T50" s="35"/>
    </row>
    <row r="51" spans="1:20" ht="23.25" customHeight="1" x14ac:dyDescent="0.35">
      <c r="A51" s="182"/>
      <c r="B51" s="183"/>
      <c r="C51" s="183"/>
      <c r="T51" s="35"/>
    </row>
    <row r="52" spans="1:20" ht="25.5" customHeight="1" x14ac:dyDescent="0.35">
      <c r="A52" s="182"/>
      <c r="B52" s="183"/>
      <c r="C52" s="183"/>
      <c r="T52" s="35"/>
    </row>
    <row r="53" spans="1:20" ht="23.25" customHeight="1" x14ac:dyDescent="0.35">
      <c r="A53" s="182"/>
      <c r="B53" s="183"/>
      <c r="C53" s="183"/>
      <c r="T53" s="35"/>
    </row>
    <row r="54" spans="1:20" ht="47.25" customHeight="1" x14ac:dyDescent="0.35">
      <c r="A54" s="182"/>
      <c r="B54" s="183"/>
      <c r="C54" s="183"/>
      <c r="T54" s="35"/>
    </row>
    <row r="55" spans="1:20" x14ac:dyDescent="0.35">
      <c r="T55" s="35"/>
    </row>
    <row r="56" spans="1:20" x14ac:dyDescent="0.35">
      <c r="T56" s="35"/>
    </row>
    <row r="57" spans="1:20" x14ac:dyDescent="0.35">
      <c r="T57" s="35"/>
    </row>
    <row r="58" spans="1:20" ht="23.25" customHeight="1" x14ac:dyDescent="0.35">
      <c r="A58" s="184"/>
      <c r="B58" s="185"/>
      <c r="C58" s="185"/>
      <c r="T58" s="35"/>
    </row>
    <row r="59" spans="1:20" ht="23.25" customHeight="1" x14ac:dyDescent="0.35">
      <c r="A59" s="182"/>
      <c r="B59" s="183"/>
      <c r="C59" s="183"/>
      <c r="T59" s="35"/>
    </row>
    <row r="60" spans="1:20" ht="23.25" customHeight="1" x14ac:dyDescent="0.35">
      <c r="A60" s="182"/>
      <c r="B60" s="183"/>
      <c r="C60" s="183"/>
    </row>
  </sheetData>
  <mergeCells count="25">
    <mergeCell ref="S3:S4"/>
    <mergeCell ref="E3:E4"/>
    <mergeCell ref="Q3:Q4"/>
    <mergeCell ref="P3:P4"/>
    <mergeCell ref="A1:B2"/>
    <mergeCell ref="A3:A4"/>
    <mergeCell ref="B3:B4"/>
    <mergeCell ref="C3:C4"/>
    <mergeCell ref="D3:D4"/>
    <mergeCell ref="U3:U4"/>
    <mergeCell ref="A54:C54"/>
    <mergeCell ref="A58:C58"/>
    <mergeCell ref="A59:C59"/>
    <mergeCell ref="A60:C60"/>
    <mergeCell ref="R3:R4"/>
    <mergeCell ref="N3:O3"/>
    <mergeCell ref="T3:T4"/>
    <mergeCell ref="A50:C50"/>
    <mergeCell ref="A51:C51"/>
    <mergeCell ref="A52:C52"/>
    <mergeCell ref="A53:C53"/>
    <mergeCell ref="G3:G4"/>
    <mergeCell ref="H3:H4"/>
    <mergeCell ref="I3:I4"/>
    <mergeCell ref="L3:M3"/>
  </mergeCells>
  <phoneticPr fontId="13" type="noConversion"/>
  <conditionalFormatting sqref="A22">
    <cfRule type="expression" dxfId="8" priority="1">
      <formula>$H22="Open"</formula>
    </cfRule>
  </conditionalFormatting>
  <conditionalFormatting sqref="A5:U47">
    <cfRule type="expression" dxfId="7" priority="9">
      <formula>$N5&lt;&gt;""</formula>
    </cfRule>
  </conditionalFormatting>
  <conditionalFormatting sqref="A5:U48">
    <cfRule type="expression" dxfId="6" priority="3">
      <formula>$S5=TRUE</formula>
    </cfRule>
  </conditionalFormatting>
  <conditionalFormatting sqref="B5:U48">
    <cfRule type="expression" dxfId="5" priority="13">
      <formula>$H5="Open"</formula>
    </cfRule>
  </conditionalFormatting>
  <conditionalFormatting sqref="G3:G1048576">
    <cfRule type="expression" dxfId="4" priority="12">
      <formula>AND(ISNUMBER(G3), G3&gt;=14)</formula>
    </cfRule>
  </conditionalFormatting>
  <conditionalFormatting sqref="L5:L47">
    <cfRule type="expression" dxfId="3" priority="4">
      <formula>AND($L5&lt;TODAY(),$N5="")</formula>
    </cfRule>
  </conditionalFormatting>
  <conditionalFormatting sqref="M5:M45">
    <cfRule type="expression" dxfId="2" priority="10">
      <formula>AND(ISNUMBER(M5), M5&gt;30)</formula>
    </cfRule>
  </conditionalFormatting>
  <conditionalFormatting sqref="T27">
    <cfRule type="expression" dxfId="1" priority="15">
      <formula>$N26&lt;&gt;""</formula>
    </cfRule>
  </conditionalFormatting>
  <pageMargins left="0.7" right="0.7" top="0.5" bottom="0.25" header="0.3" footer="0.3"/>
  <pageSetup paperSize="3" scale="38" orientation="landscape" r:id="rId1"/>
  <colBreaks count="1" manualBreakCount="1">
    <brk id="19"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52"/>
  <sheetViews>
    <sheetView tabSelected="1" zoomScale="70" zoomScaleNormal="70" zoomScaleSheetLayoutView="70" workbookViewId="0">
      <pane ySplit="4" topLeftCell="A5" activePane="bottomLeft" state="frozen"/>
      <selection pane="bottomLeft" activeCell="M22" sqref="M22"/>
    </sheetView>
  </sheetViews>
  <sheetFormatPr defaultColWidth="14.42578125" defaultRowHeight="23.25" x14ac:dyDescent="0.35"/>
  <cols>
    <col min="1" max="1" width="29.42578125" style="4" customWidth="1"/>
    <col min="2" max="2" width="32.7109375" style="2" customWidth="1"/>
    <col min="3" max="3" width="51.7109375" style="2" customWidth="1"/>
    <col min="4" max="5" width="39.42578125" style="2" hidden="1" customWidth="1"/>
    <col min="6" max="6" width="38.7109375" style="2" hidden="1" customWidth="1"/>
    <col min="7" max="7" width="28.28515625" style="2" hidden="1" customWidth="1"/>
    <col min="8" max="8" width="35" style="2" hidden="1" customWidth="1"/>
    <col min="9" max="9" width="18.42578125" style="44" customWidth="1"/>
    <col min="10" max="10" width="16.7109375" style="44" customWidth="1"/>
    <col min="11" max="11" width="19.42578125" style="44" customWidth="1"/>
    <col min="12" max="12" width="20.7109375" style="55" customWidth="1"/>
    <col min="13" max="14" width="14.42578125" style="50" customWidth="1"/>
    <col min="15" max="15" width="24.42578125" style="30" customWidth="1"/>
    <col min="16" max="16" width="84.140625" style="2" customWidth="1"/>
    <col min="17" max="17" width="18.28515625" style="2" customWidth="1"/>
    <col min="18" max="16384" width="14.42578125" style="2"/>
  </cols>
  <sheetData>
    <row r="1" spans="1:17" ht="25.9" customHeight="1" x14ac:dyDescent="0.35">
      <c r="A1" s="200" t="s">
        <v>41</v>
      </c>
      <c r="B1" s="201"/>
      <c r="C1" s="1" t="s">
        <v>2</v>
      </c>
      <c r="D1" s="31" t="s">
        <v>3</v>
      </c>
      <c r="E1" s="31" t="s">
        <v>3</v>
      </c>
      <c r="F1" s="31" t="s">
        <v>3</v>
      </c>
      <c r="G1" s="31" t="s">
        <v>3</v>
      </c>
      <c r="H1" s="31" t="s">
        <v>3</v>
      </c>
      <c r="I1" s="39" t="s">
        <v>3</v>
      </c>
      <c r="J1" s="51"/>
      <c r="K1" s="51"/>
      <c r="L1" s="51"/>
      <c r="M1" s="46"/>
      <c r="N1" s="46"/>
      <c r="O1" s="32"/>
      <c r="P1" s="36"/>
      <c r="Q1" s="36"/>
    </row>
    <row r="2" spans="1:17" ht="37.9" customHeight="1" x14ac:dyDescent="0.4">
      <c r="A2" s="200"/>
      <c r="B2" s="201"/>
      <c r="C2" s="3" t="s">
        <v>7</v>
      </c>
      <c r="D2" s="33" t="s">
        <v>6</v>
      </c>
      <c r="E2" s="33" t="s">
        <v>6</v>
      </c>
      <c r="F2" s="33" t="s">
        <v>6</v>
      </c>
      <c r="G2" s="33" t="s">
        <v>6</v>
      </c>
      <c r="H2" s="33" t="s">
        <v>6</v>
      </c>
      <c r="I2" s="40" t="s">
        <v>6</v>
      </c>
      <c r="J2" s="52"/>
      <c r="K2" s="52"/>
      <c r="L2" s="52"/>
      <c r="M2" s="47"/>
      <c r="N2" s="47"/>
      <c r="O2" s="34"/>
      <c r="P2" s="37"/>
      <c r="Q2" s="37"/>
    </row>
    <row r="3" spans="1:17" ht="22.9" customHeight="1" x14ac:dyDescent="0.35">
      <c r="A3" s="180" t="s">
        <v>39</v>
      </c>
      <c r="B3" s="202" t="s">
        <v>11</v>
      </c>
      <c r="C3" s="202" t="s">
        <v>40</v>
      </c>
      <c r="D3" s="204" t="s">
        <v>0</v>
      </c>
      <c r="E3" s="192" t="s">
        <v>1</v>
      </c>
      <c r="F3" s="23" t="s">
        <v>5</v>
      </c>
      <c r="G3" s="192" t="s">
        <v>8</v>
      </c>
      <c r="H3" s="192" t="s">
        <v>9</v>
      </c>
      <c r="I3" s="193" t="s">
        <v>12</v>
      </c>
      <c r="J3" s="195" t="s">
        <v>46</v>
      </c>
      <c r="K3" s="196"/>
      <c r="L3" s="205" t="s">
        <v>13</v>
      </c>
      <c r="M3" s="207" t="s">
        <v>8</v>
      </c>
      <c r="N3" s="209" t="s">
        <v>162</v>
      </c>
      <c r="O3" s="186" t="s">
        <v>20</v>
      </c>
      <c r="P3" s="190" t="s">
        <v>27</v>
      </c>
      <c r="Q3" s="180" t="s">
        <v>135</v>
      </c>
    </row>
    <row r="4" spans="1:17" ht="47.45" customHeight="1" x14ac:dyDescent="0.35">
      <c r="A4" s="181"/>
      <c r="B4" s="203"/>
      <c r="C4" s="203"/>
      <c r="D4" s="192"/>
      <c r="E4" s="192"/>
      <c r="F4" s="22" t="s">
        <v>4</v>
      </c>
      <c r="G4" s="192"/>
      <c r="H4" s="192"/>
      <c r="I4" s="194"/>
      <c r="J4" s="57" t="s">
        <v>45</v>
      </c>
      <c r="K4" s="57" t="s">
        <v>47</v>
      </c>
      <c r="L4" s="206"/>
      <c r="M4" s="208"/>
      <c r="N4" s="207"/>
      <c r="O4" s="187"/>
      <c r="P4" s="191"/>
      <c r="Q4" s="181" t="s">
        <v>134</v>
      </c>
    </row>
    <row r="5" spans="1:17" s="56" customFormat="1" x14ac:dyDescent="0.35">
      <c r="A5" s="81">
        <v>1</v>
      </c>
      <c r="B5" s="82">
        <v>45663</v>
      </c>
      <c r="C5" s="94" t="s">
        <v>14</v>
      </c>
      <c r="D5" s="84"/>
      <c r="E5" s="84"/>
      <c r="F5" s="85"/>
      <c r="G5" s="86"/>
      <c r="H5" s="87"/>
      <c r="I5" s="88">
        <f>IF(B5="","",B5+30)</f>
        <v>45693</v>
      </c>
      <c r="J5" s="88"/>
      <c r="K5" s="88"/>
      <c r="L5" s="82">
        <v>45679</v>
      </c>
      <c r="M5" s="89">
        <f ca="1">IF(AND(L5&gt;0,B5&gt;0),L5-B5,IF(AND(B5&gt;0,L5=""),TODAY()-B5,""))</f>
        <v>16</v>
      </c>
      <c r="N5" s="89"/>
      <c r="O5" s="95"/>
      <c r="P5" s="91" t="s">
        <v>15</v>
      </c>
      <c r="Q5" s="110" t="s">
        <v>136</v>
      </c>
    </row>
    <row r="6" spans="1:17" ht="24" customHeight="1" x14ac:dyDescent="0.35">
      <c r="A6" s="6">
        <v>2</v>
      </c>
      <c r="B6" s="42"/>
      <c r="C6" s="25" t="s">
        <v>19</v>
      </c>
      <c r="D6" s="13"/>
      <c r="E6" s="13"/>
      <c r="F6" s="8"/>
      <c r="G6" s="9"/>
      <c r="H6" s="10"/>
      <c r="I6" s="41" t="str">
        <f t="shared" ref="I6:I12" si="0">IF(B6="","",B6+30)</f>
        <v/>
      </c>
      <c r="J6" s="59"/>
      <c r="K6" s="58" t="str">
        <f>IF(J6&gt;0,J6-B6,"")</f>
        <v/>
      </c>
      <c r="L6" s="41"/>
      <c r="M6" s="48" t="str">
        <f t="shared" ref="M6:M34" ca="1" si="1">IF(AND(L6&gt;0,B6&gt;0),L6-B6,IF(AND(B6&gt;0,L6=""),TODAY()-B6,""))</f>
        <v/>
      </c>
      <c r="N6" s="48"/>
      <c r="O6" s="27"/>
      <c r="P6" s="35"/>
      <c r="Q6" s="111"/>
    </row>
    <row r="7" spans="1:17" s="5" customFormat="1" x14ac:dyDescent="0.35">
      <c r="A7" s="11" t="s">
        <v>17</v>
      </c>
      <c r="B7" s="42">
        <v>45862</v>
      </c>
      <c r="C7" s="25"/>
      <c r="D7" s="13"/>
      <c r="E7" s="13"/>
      <c r="F7" s="8"/>
      <c r="G7" s="9"/>
      <c r="H7" s="12"/>
      <c r="I7" s="41">
        <f t="shared" si="0"/>
        <v>45892</v>
      </c>
      <c r="J7" s="59"/>
      <c r="K7" s="58" t="str">
        <f t="shared" ref="K7:K8" si="2">IF(J7&gt;0,J7-B7,"")</f>
        <v/>
      </c>
      <c r="L7" s="53">
        <v>45909</v>
      </c>
      <c r="M7" s="48">
        <f t="shared" ca="1" si="1"/>
        <v>47</v>
      </c>
      <c r="N7" s="48"/>
      <c r="O7" s="45"/>
      <c r="P7" s="35"/>
      <c r="Q7" s="112"/>
    </row>
    <row r="8" spans="1:17" ht="54" customHeight="1" x14ac:dyDescent="0.35">
      <c r="A8" s="6" t="s">
        <v>18</v>
      </c>
      <c r="B8" s="42"/>
      <c r="C8" s="25"/>
      <c r="D8" s="13"/>
      <c r="E8" s="13"/>
      <c r="F8" s="8"/>
      <c r="G8" s="9"/>
      <c r="H8" s="10"/>
      <c r="I8" s="41" t="str">
        <f t="shared" si="0"/>
        <v/>
      </c>
      <c r="J8" s="59"/>
      <c r="K8" s="58" t="str">
        <f t="shared" si="2"/>
        <v/>
      </c>
      <c r="L8" s="42">
        <v>45937</v>
      </c>
      <c r="M8" s="48" t="str">
        <f t="shared" ca="1" si="1"/>
        <v/>
      </c>
      <c r="N8" s="48"/>
      <c r="O8" s="38"/>
      <c r="P8" s="35" t="s">
        <v>44</v>
      </c>
      <c r="Q8" s="111"/>
    </row>
    <row r="9" spans="1:17" s="56" customFormat="1" x14ac:dyDescent="0.35">
      <c r="A9" s="81">
        <v>3</v>
      </c>
      <c r="B9" s="82">
        <v>45866</v>
      </c>
      <c r="C9" s="83" t="s">
        <v>21</v>
      </c>
      <c r="D9" s="84"/>
      <c r="E9" s="84"/>
      <c r="F9" s="85"/>
      <c r="G9" s="86"/>
      <c r="H9" s="87"/>
      <c r="I9" s="88">
        <f t="shared" si="0"/>
        <v>45896</v>
      </c>
      <c r="J9" s="88"/>
      <c r="K9" s="88"/>
      <c r="L9" s="82"/>
      <c r="M9" s="89" t="s">
        <v>38</v>
      </c>
      <c r="N9" s="89"/>
      <c r="O9" s="90"/>
      <c r="P9" s="91"/>
      <c r="Q9" s="110" t="s">
        <v>38</v>
      </c>
    </row>
    <row r="10" spans="1:17" s="56" customFormat="1" x14ac:dyDescent="0.35">
      <c r="A10" s="81" t="s">
        <v>22</v>
      </c>
      <c r="B10" s="82"/>
      <c r="C10" s="83"/>
      <c r="D10" s="84"/>
      <c r="E10" s="84"/>
      <c r="F10" s="85"/>
      <c r="G10" s="86"/>
      <c r="H10" s="87"/>
      <c r="I10" s="88" t="str">
        <f t="shared" si="0"/>
        <v/>
      </c>
      <c r="J10" s="88"/>
      <c r="K10" s="88"/>
      <c r="L10" s="82">
        <v>45940</v>
      </c>
      <c r="M10" s="89" t="str">
        <f t="shared" ca="1" si="1"/>
        <v/>
      </c>
      <c r="N10" s="89"/>
      <c r="O10" s="90"/>
      <c r="P10" s="91"/>
      <c r="Q10" s="110" t="s">
        <v>38</v>
      </c>
    </row>
    <row r="11" spans="1:17" s="56" customFormat="1" ht="22.9" customHeight="1" x14ac:dyDescent="0.35">
      <c r="A11" s="81" t="s">
        <v>23</v>
      </c>
      <c r="B11" s="82"/>
      <c r="C11" s="92"/>
      <c r="D11" s="84"/>
      <c r="E11" s="84"/>
      <c r="F11" s="85"/>
      <c r="G11" s="86"/>
      <c r="H11" s="87"/>
      <c r="I11" s="88" t="str">
        <f t="shared" si="0"/>
        <v/>
      </c>
      <c r="J11" s="88"/>
      <c r="K11" s="88"/>
      <c r="L11" s="82">
        <v>45958</v>
      </c>
      <c r="M11" s="89" t="str">
        <f t="shared" ca="1" si="1"/>
        <v/>
      </c>
      <c r="N11" s="89"/>
      <c r="O11" s="90"/>
      <c r="P11" s="93"/>
      <c r="Q11" s="110" t="s">
        <v>38</v>
      </c>
    </row>
    <row r="12" spans="1:17" s="56" customFormat="1" x14ac:dyDescent="0.35">
      <c r="A12" s="81" t="s">
        <v>24</v>
      </c>
      <c r="B12" s="82"/>
      <c r="C12" s="92"/>
      <c r="D12" s="84"/>
      <c r="E12" s="84"/>
      <c r="F12" s="85"/>
      <c r="G12" s="86"/>
      <c r="H12" s="87"/>
      <c r="I12" s="88" t="str">
        <f t="shared" si="0"/>
        <v/>
      </c>
      <c r="J12" s="88"/>
      <c r="K12" s="88"/>
      <c r="L12" s="82">
        <v>45966</v>
      </c>
      <c r="M12" s="89" t="str">
        <f t="shared" ca="1" si="1"/>
        <v/>
      </c>
      <c r="N12" s="89"/>
      <c r="O12" s="90"/>
      <c r="P12" s="91" t="s">
        <v>16</v>
      </c>
      <c r="Q12" s="110"/>
    </row>
    <row r="13" spans="1:17" x14ac:dyDescent="0.35">
      <c r="A13" s="169">
        <v>4</v>
      </c>
      <c r="B13" s="170">
        <v>46052</v>
      </c>
      <c r="C13" s="171" t="s">
        <v>25</v>
      </c>
      <c r="D13" s="172"/>
      <c r="E13" s="172"/>
      <c r="F13" s="173"/>
      <c r="G13" s="174"/>
      <c r="H13" s="175"/>
      <c r="I13" s="176">
        <f>IF(B13="","",B13+30)</f>
        <v>46082</v>
      </c>
      <c r="J13" s="176">
        <v>46136</v>
      </c>
      <c r="K13" s="177">
        <f t="shared" ref="K13:K34" si="3">IF(J13&gt;0,J13-B13,"")</f>
        <v>84</v>
      </c>
      <c r="L13" s="170">
        <v>46136</v>
      </c>
      <c r="M13" s="177">
        <f t="shared" ca="1" si="1"/>
        <v>84</v>
      </c>
      <c r="N13" s="210">
        <v>76806.47</v>
      </c>
      <c r="O13" s="178"/>
      <c r="P13" s="179" t="s">
        <v>10</v>
      </c>
      <c r="Q13" s="111" t="s">
        <v>137</v>
      </c>
    </row>
    <row r="14" spans="1:17" ht="46.5" x14ac:dyDescent="0.35">
      <c r="A14" s="6">
        <v>5</v>
      </c>
      <c r="B14" s="42">
        <v>46051</v>
      </c>
      <c r="C14" s="24" t="s">
        <v>28</v>
      </c>
      <c r="D14" s="13"/>
      <c r="E14" s="13"/>
      <c r="F14" s="8"/>
      <c r="G14" s="9"/>
      <c r="H14" s="10"/>
      <c r="I14" s="41">
        <f t="shared" ref="I14:I34" si="4">IF(B14="","",B14+30)</f>
        <v>46081</v>
      </c>
      <c r="J14" s="59">
        <v>46141</v>
      </c>
      <c r="K14" s="58">
        <f t="shared" si="3"/>
        <v>90</v>
      </c>
      <c r="L14" s="42"/>
      <c r="M14" s="48">
        <f t="shared" ca="1" si="1"/>
        <v>85</v>
      </c>
      <c r="N14" s="48"/>
      <c r="O14" s="28"/>
      <c r="P14" s="35" t="s">
        <v>10</v>
      </c>
      <c r="Q14" s="111" t="s">
        <v>138</v>
      </c>
    </row>
    <row r="15" spans="1:17" x14ac:dyDescent="0.35">
      <c r="A15" s="96">
        <v>6</v>
      </c>
      <c r="B15" s="97">
        <v>46051</v>
      </c>
      <c r="C15" s="98" t="s">
        <v>29</v>
      </c>
      <c r="D15" s="99"/>
      <c r="E15" s="99"/>
      <c r="F15" s="100"/>
      <c r="G15" s="101"/>
      <c r="H15" s="102"/>
      <c r="I15" s="103">
        <f t="shared" si="4"/>
        <v>46081</v>
      </c>
      <c r="J15" s="103">
        <v>46094</v>
      </c>
      <c r="K15" s="104">
        <f t="shared" si="3"/>
        <v>43</v>
      </c>
      <c r="L15" s="97">
        <v>32874</v>
      </c>
      <c r="M15" s="104">
        <f t="shared" ca="1" si="1"/>
        <v>-13177</v>
      </c>
      <c r="N15" s="104"/>
      <c r="O15" s="105">
        <v>46055</v>
      </c>
      <c r="P15" s="106" t="s">
        <v>120</v>
      </c>
      <c r="Q15" s="111" t="s">
        <v>38</v>
      </c>
    </row>
    <row r="16" spans="1:17" x14ac:dyDescent="0.35">
      <c r="A16" s="96">
        <v>7</v>
      </c>
      <c r="B16" s="97">
        <v>46051</v>
      </c>
      <c r="C16" s="98" t="s">
        <v>30</v>
      </c>
      <c r="D16" s="99"/>
      <c r="E16" s="99"/>
      <c r="F16" s="100"/>
      <c r="G16" s="101"/>
      <c r="H16" s="102"/>
      <c r="I16" s="103">
        <f t="shared" si="4"/>
        <v>46081</v>
      </c>
      <c r="J16" s="103">
        <v>46079</v>
      </c>
      <c r="K16" s="104">
        <f t="shared" si="3"/>
        <v>28</v>
      </c>
      <c r="L16" s="97">
        <v>32874</v>
      </c>
      <c r="M16" s="104">
        <f t="shared" ca="1" si="1"/>
        <v>-13177</v>
      </c>
      <c r="N16" s="104"/>
      <c r="O16" s="155"/>
      <c r="P16" s="106" t="s">
        <v>150</v>
      </c>
      <c r="Q16" s="111"/>
    </row>
    <row r="17" spans="1:17" s="149" customFormat="1" x14ac:dyDescent="0.35">
      <c r="A17" s="156">
        <v>8</v>
      </c>
      <c r="B17" s="157">
        <v>46064</v>
      </c>
      <c r="C17" s="158" t="s">
        <v>118</v>
      </c>
      <c r="D17" s="159"/>
      <c r="E17" s="159"/>
      <c r="F17" s="160"/>
      <c r="G17" s="161"/>
      <c r="H17" s="162"/>
      <c r="I17" s="163">
        <f t="shared" si="4"/>
        <v>46094</v>
      </c>
      <c r="J17" s="163">
        <v>46094</v>
      </c>
      <c r="K17" s="164">
        <f t="shared" si="3"/>
        <v>30</v>
      </c>
      <c r="L17" s="157">
        <v>46099</v>
      </c>
      <c r="M17" s="164">
        <f t="shared" ca="1" si="1"/>
        <v>35</v>
      </c>
      <c r="N17" s="164"/>
      <c r="O17" s="165"/>
      <c r="P17" s="166" t="s">
        <v>140</v>
      </c>
      <c r="Q17" s="150"/>
    </row>
    <row r="18" spans="1:17" x14ac:dyDescent="0.35">
      <c r="A18" s="169">
        <v>9</v>
      </c>
      <c r="B18" s="170">
        <v>46079</v>
      </c>
      <c r="C18" s="171" t="s">
        <v>119</v>
      </c>
      <c r="D18" s="172"/>
      <c r="E18" s="172"/>
      <c r="F18" s="173"/>
      <c r="G18" s="174"/>
      <c r="H18" s="175"/>
      <c r="I18" s="176">
        <f t="shared" si="4"/>
        <v>46109</v>
      </c>
      <c r="J18" s="176">
        <v>46101</v>
      </c>
      <c r="K18" s="177">
        <f t="shared" si="3"/>
        <v>22</v>
      </c>
      <c r="L18" s="170"/>
      <c r="M18" s="177">
        <f t="shared" ca="1" si="1"/>
        <v>57</v>
      </c>
      <c r="N18" s="177"/>
      <c r="O18" s="178"/>
      <c r="P18" s="179" t="s">
        <v>151</v>
      </c>
      <c r="Q18" s="111"/>
    </row>
    <row r="19" spans="1:17" x14ac:dyDescent="0.35">
      <c r="A19" s="6">
        <v>10</v>
      </c>
      <c r="B19" s="42"/>
      <c r="C19" s="24" t="s">
        <v>157</v>
      </c>
      <c r="D19" s="13"/>
      <c r="E19" s="13"/>
      <c r="F19" s="8"/>
      <c r="G19" s="21"/>
      <c r="H19" s="10"/>
      <c r="I19" s="41" t="str">
        <f t="shared" si="4"/>
        <v/>
      </c>
      <c r="J19" s="59"/>
      <c r="K19" s="58" t="str">
        <f t="shared" si="3"/>
        <v/>
      </c>
      <c r="L19" s="42"/>
      <c r="M19" s="48" t="str">
        <f t="shared" ca="1" si="1"/>
        <v/>
      </c>
      <c r="N19" s="48"/>
      <c r="O19" s="28"/>
      <c r="P19" s="35" t="s">
        <v>10</v>
      </c>
      <c r="Q19" s="111"/>
    </row>
    <row r="20" spans="1:17" x14ac:dyDescent="0.35">
      <c r="A20" s="6">
        <v>11</v>
      </c>
      <c r="B20" s="42">
        <v>46112</v>
      </c>
      <c r="C20" s="107" t="s">
        <v>132</v>
      </c>
      <c r="D20" s="13"/>
      <c r="E20" s="13"/>
      <c r="F20" s="8"/>
      <c r="G20" s="14"/>
      <c r="H20" s="10"/>
      <c r="I20" s="41">
        <f t="shared" si="4"/>
        <v>46142</v>
      </c>
      <c r="J20" s="59">
        <v>46157</v>
      </c>
      <c r="K20" s="58">
        <f t="shared" si="3"/>
        <v>45</v>
      </c>
      <c r="L20" s="42"/>
      <c r="M20" s="48">
        <f t="shared" ca="1" si="1"/>
        <v>24</v>
      </c>
      <c r="N20" s="48"/>
      <c r="O20" s="28"/>
      <c r="P20" s="35" t="s">
        <v>133</v>
      </c>
      <c r="Q20" s="111"/>
    </row>
    <row r="21" spans="1:17" x14ac:dyDescent="0.35">
      <c r="A21" s="6">
        <v>12</v>
      </c>
      <c r="B21" s="42">
        <v>46113</v>
      </c>
      <c r="C21" s="24" t="s">
        <v>156</v>
      </c>
      <c r="D21" s="13"/>
      <c r="E21" s="13"/>
      <c r="F21" s="8"/>
      <c r="G21" s="14"/>
      <c r="H21" s="10"/>
      <c r="I21" s="41">
        <f t="shared" si="4"/>
        <v>46143</v>
      </c>
      <c r="J21" s="59">
        <v>46150</v>
      </c>
      <c r="K21" s="58">
        <f t="shared" si="3"/>
        <v>37</v>
      </c>
      <c r="L21" s="42"/>
      <c r="M21" s="48">
        <f t="shared" ca="1" si="1"/>
        <v>23</v>
      </c>
      <c r="N21" s="48"/>
      <c r="O21" s="28"/>
      <c r="P21" s="35" t="s">
        <v>10</v>
      </c>
      <c r="Q21" s="111"/>
    </row>
    <row r="22" spans="1:17" x14ac:dyDescent="0.35">
      <c r="A22" s="6">
        <v>13</v>
      </c>
      <c r="B22" s="42"/>
      <c r="C22" s="24"/>
      <c r="D22" s="13"/>
      <c r="E22" s="13"/>
      <c r="F22" s="8"/>
      <c r="G22" s="14"/>
      <c r="H22" s="10"/>
      <c r="I22" s="41" t="str">
        <f t="shared" si="4"/>
        <v/>
      </c>
      <c r="J22" s="59"/>
      <c r="K22" s="58" t="str">
        <f t="shared" si="3"/>
        <v/>
      </c>
      <c r="L22" s="42"/>
      <c r="M22" s="48" t="str">
        <f t="shared" ca="1" si="1"/>
        <v/>
      </c>
      <c r="N22" s="48"/>
      <c r="O22" s="28"/>
      <c r="P22" s="35" t="s">
        <v>10</v>
      </c>
      <c r="Q22" s="111"/>
    </row>
    <row r="23" spans="1:17" x14ac:dyDescent="0.35">
      <c r="A23" s="6">
        <v>14</v>
      </c>
      <c r="B23" s="42"/>
      <c r="C23" s="24"/>
      <c r="D23" s="13"/>
      <c r="E23" s="13"/>
      <c r="F23" s="8"/>
      <c r="G23" s="14"/>
      <c r="H23" s="10"/>
      <c r="I23" s="41" t="str">
        <f t="shared" si="4"/>
        <v/>
      </c>
      <c r="J23" s="59"/>
      <c r="K23" s="58" t="str">
        <f t="shared" si="3"/>
        <v/>
      </c>
      <c r="L23" s="42"/>
      <c r="M23" s="48" t="str">
        <f t="shared" ca="1" si="1"/>
        <v/>
      </c>
      <c r="N23" s="48"/>
      <c r="O23" s="28"/>
      <c r="P23" s="35" t="s">
        <v>10</v>
      </c>
      <c r="Q23" s="111"/>
    </row>
    <row r="24" spans="1:17" x14ac:dyDescent="0.35">
      <c r="A24" s="6">
        <v>15</v>
      </c>
      <c r="B24" s="42"/>
      <c r="C24" s="24"/>
      <c r="D24" s="13"/>
      <c r="E24" s="13"/>
      <c r="F24" s="8"/>
      <c r="G24" s="14"/>
      <c r="H24" s="10"/>
      <c r="I24" s="41" t="str">
        <f t="shared" si="4"/>
        <v/>
      </c>
      <c r="J24" s="59"/>
      <c r="K24" s="58" t="str">
        <f t="shared" si="3"/>
        <v/>
      </c>
      <c r="L24" s="42"/>
      <c r="M24" s="48" t="str">
        <f t="shared" ca="1" si="1"/>
        <v/>
      </c>
      <c r="N24" s="48"/>
      <c r="O24" s="28"/>
      <c r="P24" s="35" t="s">
        <v>10</v>
      </c>
      <c r="Q24" s="111"/>
    </row>
    <row r="25" spans="1:17" x14ac:dyDescent="0.35">
      <c r="A25" s="6">
        <v>16</v>
      </c>
      <c r="B25" s="42"/>
      <c r="C25" s="24"/>
      <c r="D25" s="13"/>
      <c r="E25" s="13"/>
      <c r="F25" s="8"/>
      <c r="G25" s="14"/>
      <c r="H25" s="10"/>
      <c r="I25" s="41" t="str">
        <f t="shared" si="4"/>
        <v/>
      </c>
      <c r="J25" s="59"/>
      <c r="K25" s="58" t="str">
        <f t="shared" si="3"/>
        <v/>
      </c>
      <c r="L25" s="42"/>
      <c r="M25" s="48" t="str">
        <f t="shared" ca="1" si="1"/>
        <v/>
      </c>
      <c r="N25" s="48"/>
      <c r="O25" s="28"/>
      <c r="P25" s="35" t="s">
        <v>10</v>
      </c>
    </row>
    <row r="26" spans="1:17" ht="24.6" customHeight="1" x14ac:dyDescent="0.35">
      <c r="A26" s="6">
        <v>17</v>
      </c>
      <c r="B26" s="42"/>
      <c r="C26" s="24"/>
      <c r="D26" s="13"/>
      <c r="E26" s="13"/>
      <c r="F26" s="8"/>
      <c r="G26" s="14"/>
      <c r="H26" s="10"/>
      <c r="I26" s="41" t="str">
        <f t="shared" si="4"/>
        <v/>
      </c>
      <c r="J26" s="59"/>
      <c r="K26" s="58" t="str">
        <f t="shared" si="3"/>
        <v/>
      </c>
      <c r="L26" s="42"/>
      <c r="M26" s="48" t="str">
        <f t="shared" ca="1" si="1"/>
        <v/>
      </c>
      <c r="N26" s="48"/>
      <c r="O26" s="28"/>
      <c r="P26" s="35" t="s">
        <v>10</v>
      </c>
    </row>
    <row r="27" spans="1:17" ht="24.6" customHeight="1" x14ac:dyDescent="0.35">
      <c r="A27" s="6">
        <v>18</v>
      </c>
      <c r="B27" s="42"/>
      <c r="C27" s="24"/>
      <c r="D27" s="13"/>
      <c r="E27" s="13"/>
      <c r="F27" s="8"/>
      <c r="G27" s="9"/>
      <c r="H27" s="10"/>
      <c r="I27" s="41" t="str">
        <f t="shared" si="4"/>
        <v/>
      </c>
      <c r="J27" s="59"/>
      <c r="K27" s="58" t="str">
        <f t="shared" si="3"/>
        <v/>
      </c>
      <c r="L27" s="42"/>
      <c r="M27" s="48" t="str">
        <f t="shared" ca="1" si="1"/>
        <v/>
      </c>
      <c r="N27" s="48"/>
      <c r="O27" s="28"/>
      <c r="P27" s="35" t="s">
        <v>10</v>
      </c>
    </row>
    <row r="28" spans="1:17" ht="24.6" customHeight="1" x14ac:dyDescent="0.35">
      <c r="A28" s="6">
        <v>19</v>
      </c>
      <c r="B28" s="42"/>
      <c r="C28" s="24"/>
      <c r="D28" s="13"/>
      <c r="E28" s="13"/>
      <c r="F28" s="8"/>
      <c r="G28" s="9"/>
      <c r="H28" s="10"/>
      <c r="I28" s="41" t="str">
        <f t="shared" si="4"/>
        <v/>
      </c>
      <c r="J28" s="59"/>
      <c r="K28" s="58" t="str">
        <f t="shared" si="3"/>
        <v/>
      </c>
      <c r="L28" s="42"/>
      <c r="M28" s="48" t="str">
        <f t="shared" ca="1" si="1"/>
        <v/>
      </c>
      <c r="N28" s="48"/>
      <c r="O28" s="28"/>
      <c r="P28" s="35" t="s">
        <v>10</v>
      </c>
    </row>
    <row r="29" spans="1:17" ht="24.6" customHeight="1" x14ac:dyDescent="0.35">
      <c r="A29" s="6">
        <v>20</v>
      </c>
      <c r="B29" s="42"/>
      <c r="C29" s="24"/>
      <c r="D29" s="13"/>
      <c r="E29" s="13"/>
      <c r="F29" s="8"/>
      <c r="G29" s="9"/>
      <c r="H29" s="10"/>
      <c r="I29" s="41" t="str">
        <f t="shared" si="4"/>
        <v/>
      </c>
      <c r="J29" s="59"/>
      <c r="K29" s="58" t="str">
        <f t="shared" si="3"/>
        <v/>
      </c>
      <c r="L29" s="42"/>
      <c r="M29" s="48" t="str">
        <f t="shared" ca="1" si="1"/>
        <v/>
      </c>
      <c r="N29" s="48"/>
      <c r="O29" s="28"/>
      <c r="P29" s="35" t="s">
        <v>10</v>
      </c>
    </row>
    <row r="30" spans="1:17" ht="24.6" customHeight="1" x14ac:dyDescent="0.35">
      <c r="A30" s="6">
        <v>21</v>
      </c>
      <c r="B30" s="42"/>
      <c r="C30" s="24"/>
      <c r="D30" s="13"/>
      <c r="E30" s="13"/>
      <c r="F30" s="8"/>
      <c r="G30" s="9"/>
      <c r="H30" s="10"/>
      <c r="I30" s="41" t="str">
        <f t="shared" si="4"/>
        <v/>
      </c>
      <c r="J30" s="59"/>
      <c r="K30" s="58" t="str">
        <f t="shared" si="3"/>
        <v/>
      </c>
      <c r="L30" s="42"/>
      <c r="M30" s="48" t="str">
        <f t="shared" ca="1" si="1"/>
        <v/>
      </c>
      <c r="N30" s="48"/>
      <c r="O30" s="28"/>
      <c r="P30" s="35" t="s">
        <v>10</v>
      </c>
    </row>
    <row r="31" spans="1:17" ht="24.6" customHeight="1" x14ac:dyDescent="0.35">
      <c r="A31" s="6">
        <v>22</v>
      </c>
      <c r="B31" s="42"/>
      <c r="C31" s="24"/>
      <c r="D31" s="13"/>
      <c r="E31" s="13"/>
      <c r="F31" s="8"/>
      <c r="G31" s="9"/>
      <c r="H31" s="10"/>
      <c r="I31" s="41" t="str">
        <f t="shared" si="4"/>
        <v/>
      </c>
      <c r="J31" s="59"/>
      <c r="K31" s="58" t="str">
        <f t="shared" si="3"/>
        <v/>
      </c>
      <c r="L31" s="42"/>
      <c r="M31" s="48" t="str">
        <f t="shared" ca="1" si="1"/>
        <v/>
      </c>
      <c r="N31" s="48"/>
      <c r="O31" s="28"/>
      <c r="P31" s="35" t="s">
        <v>10</v>
      </c>
    </row>
    <row r="32" spans="1:17" ht="24.6" customHeight="1" x14ac:dyDescent="0.35">
      <c r="A32" s="6">
        <v>23</v>
      </c>
      <c r="B32" s="42"/>
      <c r="C32" s="24"/>
      <c r="D32" s="13"/>
      <c r="E32" s="13"/>
      <c r="F32" s="8"/>
      <c r="G32" s="9"/>
      <c r="H32" s="10"/>
      <c r="I32" s="41" t="str">
        <f t="shared" si="4"/>
        <v/>
      </c>
      <c r="J32" s="59"/>
      <c r="K32" s="58" t="str">
        <f t="shared" si="3"/>
        <v/>
      </c>
      <c r="L32" s="42"/>
      <c r="M32" s="48" t="str">
        <f t="shared" ca="1" si="1"/>
        <v/>
      </c>
      <c r="N32" s="48"/>
      <c r="O32" s="28"/>
      <c r="P32" s="35" t="s">
        <v>10</v>
      </c>
    </row>
    <row r="33" spans="1:16" ht="24.6" customHeight="1" x14ac:dyDescent="0.35">
      <c r="A33" s="6">
        <v>24</v>
      </c>
      <c r="B33" s="42"/>
      <c r="C33" s="24"/>
      <c r="D33" s="13"/>
      <c r="E33" s="13"/>
      <c r="F33" s="8"/>
      <c r="G33" s="9"/>
      <c r="H33" s="10"/>
      <c r="I33" s="41" t="str">
        <f t="shared" si="4"/>
        <v/>
      </c>
      <c r="J33" s="59"/>
      <c r="K33" s="58" t="str">
        <f t="shared" si="3"/>
        <v/>
      </c>
      <c r="L33" s="42"/>
      <c r="M33" s="48" t="str">
        <f t="shared" ca="1" si="1"/>
        <v/>
      </c>
      <c r="N33" s="48"/>
      <c r="O33" s="28"/>
      <c r="P33" s="35" t="s">
        <v>10</v>
      </c>
    </row>
    <row r="34" spans="1:16" ht="24.6" customHeight="1" x14ac:dyDescent="0.35">
      <c r="A34" s="6">
        <v>25</v>
      </c>
      <c r="B34" s="42"/>
      <c r="C34" s="24"/>
      <c r="D34" s="13"/>
      <c r="E34" s="13"/>
      <c r="F34" s="8"/>
      <c r="G34" s="9"/>
      <c r="H34" s="10"/>
      <c r="I34" s="41" t="str">
        <f t="shared" si="4"/>
        <v/>
      </c>
      <c r="J34" s="59"/>
      <c r="K34" s="58" t="str">
        <f t="shared" si="3"/>
        <v/>
      </c>
      <c r="L34" s="42"/>
      <c r="M34" s="48" t="str">
        <f t="shared" ca="1" si="1"/>
        <v/>
      </c>
      <c r="N34" s="48"/>
      <c r="O34" s="28"/>
      <c r="P34" s="35" t="s">
        <v>10</v>
      </c>
    </row>
    <row r="35" spans="1:16" ht="24.6" customHeight="1" x14ac:dyDescent="0.35">
      <c r="A35" s="6"/>
      <c r="B35" s="7"/>
      <c r="C35" s="24"/>
      <c r="D35" s="13" t="str">
        <f>IF(ISBLANK(B35),"",B35+14)</f>
        <v/>
      </c>
      <c r="E35" s="13"/>
      <c r="F35" s="8"/>
      <c r="G35" s="9" t="str">
        <f ca="1">IF(ISBLANK(B35),"",IF(ISBLANK(E35),TODAY()-B35,E35-B35))</f>
        <v/>
      </c>
      <c r="H35" s="10" t="str">
        <f>IF(ISBLANK(B35),"",IF(ISBLANK(E35),"Open","Closed"))</f>
        <v/>
      </c>
      <c r="I35" s="41"/>
      <c r="J35" s="41"/>
      <c r="K35" s="41"/>
      <c r="L35" s="42"/>
      <c r="M35" s="48"/>
      <c r="N35" s="48"/>
      <c r="O35" s="28"/>
      <c r="P35" s="35" t="s">
        <v>10</v>
      </c>
    </row>
    <row r="36" spans="1:16" ht="24.6" customHeight="1" x14ac:dyDescent="0.35">
      <c r="A36" s="6"/>
      <c r="B36" s="7"/>
      <c r="C36" s="24"/>
      <c r="D36" s="13" t="str">
        <f>IF(ISBLANK(B36),"",B36+14)</f>
        <v/>
      </c>
      <c r="E36" s="13"/>
      <c r="F36" s="8"/>
      <c r="G36" s="9" t="str">
        <f ca="1">IF(ISBLANK(B36),"",IF(ISBLANK(E36),TODAY()-B36,E36-B36))</f>
        <v/>
      </c>
      <c r="H36" s="10" t="str">
        <f>IF(ISBLANK(B36),"",IF(ISBLANK(E36),"Open","Closed"))</f>
        <v/>
      </c>
      <c r="I36" s="41"/>
      <c r="J36" s="41"/>
      <c r="K36" s="41"/>
      <c r="L36" s="42"/>
      <c r="M36" s="48"/>
      <c r="N36" s="48"/>
      <c r="O36" s="28"/>
      <c r="P36" s="35" t="s">
        <v>10</v>
      </c>
    </row>
    <row r="37" spans="1:16" ht="24.6" customHeight="1" x14ac:dyDescent="0.35">
      <c r="A37" s="6"/>
      <c r="B37" s="7"/>
      <c r="C37" s="24"/>
      <c r="D37" s="13" t="str">
        <f>IF(ISBLANK(B37),"",B37+14)</f>
        <v/>
      </c>
      <c r="E37" s="13"/>
      <c r="F37" s="8"/>
      <c r="G37" s="9" t="str">
        <f ca="1">IF(ISBLANK(B37),"",IF(ISBLANK(E37),TODAY()-B37,E37-B37))</f>
        <v/>
      </c>
      <c r="H37" s="10" t="str">
        <f>IF(ISBLANK(B37),"",IF(ISBLANK(E37),"Open","Closed"))</f>
        <v/>
      </c>
      <c r="I37" s="41"/>
      <c r="J37" s="41"/>
      <c r="K37" s="41"/>
      <c r="L37" s="42"/>
      <c r="M37" s="48"/>
      <c r="N37" s="48"/>
      <c r="O37" s="28"/>
      <c r="P37" s="35" t="s">
        <v>10</v>
      </c>
    </row>
    <row r="38" spans="1:16" ht="24.6" customHeight="1" x14ac:dyDescent="0.35">
      <c r="A38" s="6"/>
      <c r="B38" s="7"/>
      <c r="C38" s="24"/>
      <c r="D38" s="13" t="str">
        <f>IF(ISBLANK(B38),"",B38+14)</f>
        <v/>
      </c>
      <c r="E38" s="13"/>
      <c r="F38" s="8"/>
      <c r="G38" s="9" t="str">
        <f ca="1">IF(ISBLANK(B38),"",IF(ISBLANK(E38),TODAY()-B38,E38-B38))</f>
        <v/>
      </c>
      <c r="H38" s="10" t="str">
        <f>IF(ISBLANK(B38),"",IF(ISBLANK(E38),"Open","Closed"))</f>
        <v/>
      </c>
      <c r="I38" s="41"/>
      <c r="J38" s="41"/>
      <c r="K38" s="41"/>
      <c r="L38" s="42"/>
      <c r="M38" s="48"/>
      <c r="N38" s="48"/>
      <c r="O38" s="28"/>
      <c r="P38" s="35" t="s">
        <v>10</v>
      </c>
    </row>
    <row r="39" spans="1:16" x14ac:dyDescent="0.35">
      <c r="A39" s="6"/>
      <c r="B39" s="7"/>
      <c r="C39" s="24"/>
      <c r="D39" s="13" t="str">
        <f>IF(ISBLANK(B39),"",B39+14)</f>
        <v/>
      </c>
      <c r="E39" s="13"/>
      <c r="F39" s="8"/>
      <c r="G39" s="9" t="str">
        <f ca="1">IF(ISBLANK(B39),"",IF(ISBLANK(E39),TODAY()-B39,E39-B39))</f>
        <v/>
      </c>
      <c r="H39" s="10" t="str">
        <f>IF(ISBLANK(B39),"",IF(ISBLANK(E39),"Open","Closed"))</f>
        <v/>
      </c>
      <c r="I39" s="41"/>
      <c r="J39" s="41"/>
      <c r="K39" s="41"/>
      <c r="L39" s="42"/>
      <c r="M39" s="48"/>
      <c r="N39" s="48"/>
      <c r="O39" s="28"/>
      <c r="P39" s="35" t="s">
        <v>10</v>
      </c>
    </row>
    <row r="40" spans="1:16" x14ac:dyDescent="0.35">
      <c r="A40" s="15"/>
      <c r="B40" s="16"/>
      <c r="C40" s="17"/>
      <c r="D40" s="18"/>
      <c r="E40" s="18"/>
      <c r="F40" s="19"/>
      <c r="G40" s="20"/>
      <c r="H40" s="20"/>
      <c r="I40" s="43"/>
      <c r="J40" s="43"/>
      <c r="K40" s="43"/>
      <c r="L40" s="54"/>
      <c r="M40" s="49"/>
      <c r="N40" s="49"/>
      <c r="O40" s="29"/>
      <c r="P40" s="35"/>
    </row>
    <row r="41" spans="1:16" x14ac:dyDescent="0.35">
      <c r="P41" s="35"/>
    </row>
    <row r="42" spans="1:16" ht="24" customHeight="1" x14ac:dyDescent="0.35">
      <c r="A42" s="182"/>
      <c r="B42" s="183"/>
      <c r="C42" s="183"/>
      <c r="P42" s="35"/>
    </row>
    <row r="43" spans="1:16" ht="23.25" customHeight="1" x14ac:dyDescent="0.35">
      <c r="A43" s="182"/>
      <c r="B43" s="183"/>
      <c r="C43" s="183"/>
      <c r="P43" s="35"/>
    </row>
    <row r="44" spans="1:16" ht="25.5" customHeight="1" x14ac:dyDescent="0.35">
      <c r="A44" s="182"/>
      <c r="B44" s="183"/>
      <c r="C44" s="183"/>
      <c r="P44" s="35"/>
    </row>
    <row r="45" spans="1:16" ht="23.25" customHeight="1" x14ac:dyDescent="0.35">
      <c r="A45" s="182"/>
      <c r="B45" s="183"/>
      <c r="C45" s="183"/>
      <c r="P45" s="35"/>
    </row>
    <row r="46" spans="1:16" ht="47.25" customHeight="1" x14ac:dyDescent="0.35">
      <c r="A46" s="182"/>
      <c r="B46" s="183"/>
      <c r="C46" s="183"/>
      <c r="P46" s="35"/>
    </row>
    <row r="47" spans="1:16" x14ac:dyDescent="0.35">
      <c r="P47" s="35"/>
    </row>
    <row r="48" spans="1:16" x14ac:dyDescent="0.35">
      <c r="P48" s="35"/>
    </row>
    <row r="49" spans="1:16" x14ac:dyDescent="0.35">
      <c r="P49" s="35"/>
    </row>
    <row r="50" spans="1:16" ht="23.25" customHeight="1" x14ac:dyDescent="0.35">
      <c r="A50" s="184"/>
      <c r="B50" s="185"/>
      <c r="C50" s="185"/>
      <c r="P50" s="35"/>
    </row>
    <row r="51" spans="1:16" ht="23.25" customHeight="1" x14ac:dyDescent="0.35">
      <c r="A51" s="182"/>
      <c r="B51" s="183"/>
      <c r="C51" s="183"/>
      <c r="P51" s="35"/>
    </row>
    <row r="52" spans="1:16" ht="23.25" customHeight="1" x14ac:dyDescent="0.35">
      <c r="A52" s="182"/>
      <c r="B52" s="183"/>
      <c r="C52" s="183"/>
    </row>
  </sheetData>
  <mergeCells count="24">
    <mergeCell ref="A52:C52"/>
    <mergeCell ref="H3:H4"/>
    <mergeCell ref="D3:D4"/>
    <mergeCell ref="E3:E4"/>
    <mergeCell ref="G3:G4"/>
    <mergeCell ref="A50:C50"/>
    <mergeCell ref="A51:C51"/>
    <mergeCell ref="A46:C46"/>
    <mergeCell ref="A42:C42"/>
    <mergeCell ref="A43:C43"/>
    <mergeCell ref="A44:C44"/>
    <mergeCell ref="A45:C45"/>
    <mergeCell ref="Q3:Q4"/>
    <mergeCell ref="A1:B2"/>
    <mergeCell ref="A3:A4"/>
    <mergeCell ref="B3:B4"/>
    <mergeCell ref="C3:C4"/>
    <mergeCell ref="P3:P4"/>
    <mergeCell ref="I3:I4"/>
    <mergeCell ref="L3:L4"/>
    <mergeCell ref="O3:O4"/>
    <mergeCell ref="M3:M4"/>
    <mergeCell ref="J3:K3"/>
    <mergeCell ref="N3:N4"/>
  </mergeCells>
  <phoneticPr fontId="2" type="noConversion"/>
  <conditionalFormatting sqref="G3:G1048576">
    <cfRule type="expression" dxfId="0" priority="3">
      <formula>AND(ISNUMBER(G3), G3&gt;=14)</formula>
    </cfRule>
  </conditionalFormatting>
  <pageMargins left="0.7" right="0.7" top="0.5" bottom="0.25" header="0.3" footer="0.3"/>
  <pageSetup paperSize="3" scale="38" orientation="landscape" r:id="rId1"/>
  <colBreaks count="1" manualBreakCount="1">
    <brk id="15"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D097-E24E-4950-A974-BCC7307565C8}">
  <dimension ref="B3:H50"/>
  <sheetViews>
    <sheetView workbookViewId="0">
      <selection activeCell="K32" sqref="K32"/>
    </sheetView>
  </sheetViews>
  <sheetFormatPr defaultRowHeight="12.75" x14ac:dyDescent="0.2"/>
  <cols>
    <col min="2" max="2" width="28.28515625" customWidth="1"/>
    <col min="3" max="3" width="44.85546875" customWidth="1"/>
    <col min="4" max="4" width="13.7109375" customWidth="1"/>
    <col min="5" max="5" width="21.28515625" customWidth="1"/>
    <col min="6" max="6" width="12.85546875" customWidth="1"/>
    <col min="7" max="7" width="12.140625" style="153" customWidth="1"/>
    <col min="8" max="8" width="10.42578125" customWidth="1"/>
  </cols>
  <sheetData>
    <row r="3" spans="2:8" ht="28.5" customHeight="1" x14ac:dyDescent="0.2">
      <c r="D3" s="63" t="s">
        <v>85</v>
      </c>
      <c r="E3" s="64" t="s">
        <v>86</v>
      </c>
      <c r="F3" s="64" t="s">
        <v>88</v>
      </c>
      <c r="G3" s="152" t="s">
        <v>89</v>
      </c>
      <c r="H3" s="63" t="s">
        <v>90</v>
      </c>
    </row>
    <row r="4" spans="2:8" x14ac:dyDescent="0.2">
      <c r="B4" t="s">
        <v>53</v>
      </c>
      <c r="C4" t="s">
        <v>54</v>
      </c>
      <c r="D4" s="62">
        <v>82959</v>
      </c>
    </row>
    <row r="5" spans="2:8" x14ac:dyDescent="0.2">
      <c r="D5" s="62"/>
      <c r="E5" s="61" t="s">
        <v>67</v>
      </c>
      <c r="F5" s="62">
        <v>9760</v>
      </c>
    </row>
    <row r="6" spans="2:8" x14ac:dyDescent="0.2">
      <c r="D6" s="62"/>
      <c r="E6" s="61" t="s">
        <v>68</v>
      </c>
      <c r="F6" s="62">
        <v>2360</v>
      </c>
    </row>
    <row r="7" spans="2:8" x14ac:dyDescent="0.2">
      <c r="D7" s="62"/>
      <c r="E7" s="61" t="s">
        <v>69</v>
      </c>
      <c r="F7" s="62">
        <v>17207</v>
      </c>
    </row>
    <row r="8" spans="2:8" x14ac:dyDescent="0.2">
      <c r="D8" s="62"/>
      <c r="E8" s="61"/>
      <c r="G8" s="153">
        <f>D4-F5-F6-F7</f>
        <v>53632</v>
      </c>
    </row>
    <row r="9" spans="2:8" x14ac:dyDescent="0.2">
      <c r="B9" t="s">
        <v>32</v>
      </c>
      <c r="C9" t="s">
        <v>26</v>
      </c>
      <c r="D9" s="62">
        <v>336790</v>
      </c>
    </row>
    <row r="10" spans="2:8" x14ac:dyDescent="0.2">
      <c r="D10" s="62"/>
    </row>
    <row r="11" spans="2:8" x14ac:dyDescent="0.2">
      <c r="D11" s="62"/>
    </row>
    <row r="12" spans="2:8" x14ac:dyDescent="0.2">
      <c r="B12" t="s">
        <v>33</v>
      </c>
      <c r="C12" t="s">
        <v>31</v>
      </c>
      <c r="D12" s="62">
        <v>82600</v>
      </c>
    </row>
    <row r="13" spans="2:8" x14ac:dyDescent="0.2">
      <c r="D13" s="62"/>
      <c r="E13" s="61" t="s">
        <v>70</v>
      </c>
      <c r="F13" s="62">
        <v>181614</v>
      </c>
      <c r="G13" s="153">
        <f>D12-F13</f>
        <v>-99014</v>
      </c>
    </row>
    <row r="14" spans="2:8" x14ac:dyDescent="0.2">
      <c r="D14" s="62"/>
    </row>
    <row r="15" spans="2:8" x14ac:dyDescent="0.2">
      <c r="B15" t="s">
        <v>34</v>
      </c>
      <c r="C15" t="s">
        <v>37</v>
      </c>
      <c r="D15" s="62">
        <v>162663</v>
      </c>
    </row>
    <row r="16" spans="2:8" x14ac:dyDescent="0.2">
      <c r="D16" s="62"/>
    </row>
    <row r="17" spans="2:7" x14ac:dyDescent="0.2">
      <c r="D17" s="62"/>
    </row>
    <row r="18" spans="2:7" x14ac:dyDescent="0.2">
      <c r="B18" t="s">
        <v>35</v>
      </c>
      <c r="C18" t="s">
        <v>55</v>
      </c>
      <c r="D18" s="62">
        <v>98133</v>
      </c>
    </row>
    <row r="19" spans="2:7" x14ac:dyDescent="0.2">
      <c r="D19" s="62"/>
    </row>
    <row r="20" spans="2:7" x14ac:dyDescent="0.2">
      <c r="D20" s="62"/>
    </row>
    <row r="21" spans="2:7" x14ac:dyDescent="0.2">
      <c r="B21" t="s">
        <v>36</v>
      </c>
      <c r="C21" t="s">
        <v>50</v>
      </c>
      <c r="D21" s="62">
        <v>51610</v>
      </c>
    </row>
    <row r="22" spans="2:7" x14ac:dyDescent="0.2">
      <c r="D22" s="62"/>
    </row>
    <row r="23" spans="2:7" x14ac:dyDescent="0.2">
      <c r="D23" s="62"/>
    </row>
    <row r="24" spans="2:7" x14ac:dyDescent="0.2">
      <c r="B24" t="s">
        <v>42</v>
      </c>
      <c r="C24" t="s">
        <v>43</v>
      </c>
      <c r="D24" s="62">
        <v>59000</v>
      </c>
    </row>
    <row r="25" spans="2:7" x14ac:dyDescent="0.2">
      <c r="D25" s="62"/>
      <c r="E25" s="61" t="s">
        <v>87</v>
      </c>
      <c r="F25" s="62">
        <v>54080.69</v>
      </c>
      <c r="G25" s="153">
        <f>D24-F25</f>
        <v>4919.3099999999977</v>
      </c>
    </row>
    <row r="26" spans="2:7" x14ac:dyDescent="0.2">
      <c r="D26" s="62"/>
    </row>
    <row r="27" spans="2:7" x14ac:dyDescent="0.2">
      <c r="B27" t="s">
        <v>48</v>
      </c>
      <c r="C27" t="s">
        <v>49</v>
      </c>
      <c r="D27" s="62">
        <v>1088500</v>
      </c>
    </row>
    <row r="28" spans="2:7" x14ac:dyDescent="0.2">
      <c r="D28" s="62"/>
    </row>
    <row r="29" spans="2:7" x14ac:dyDescent="0.2">
      <c r="D29" s="62"/>
    </row>
    <row r="30" spans="2:7" x14ac:dyDescent="0.2">
      <c r="B30" t="s">
        <v>52</v>
      </c>
      <c r="C30" t="s">
        <v>51</v>
      </c>
      <c r="D30" s="62">
        <v>35000</v>
      </c>
    </row>
    <row r="31" spans="2:7" x14ac:dyDescent="0.2">
      <c r="D31" s="62"/>
    </row>
    <row r="32" spans="2:7" x14ac:dyDescent="0.2">
      <c r="D32" s="62"/>
    </row>
    <row r="33" spans="2:4" x14ac:dyDescent="0.2">
      <c r="B33" t="s">
        <v>56</v>
      </c>
      <c r="C33" s="61" t="s">
        <v>66</v>
      </c>
      <c r="D33" s="62">
        <v>18634</v>
      </c>
    </row>
    <row r="34" spans="2:4" x14ac:dyDescent="0.2">
      <c r="C34" s="61"/>
      <c r="D34" s="62"/>
    </row>
    <row r="35" spans="2:4" x14ac:dyDescent="0.2">
      <c r="C35" s="61"/>
      <c r="D35" s="62"/>
    </row>
    <row r="36" spans="2:4" x14ac:dyDescent="0.2">
      <c r="B36" t="s">
        <v>57</v>
      </c>
      <c r="C36" t="s">
        <v>58</v>
      </c>
      <c r="D36" s="62">
        <v>8000</v>
      </c>
    </row>
    <row r="39" spans="2:4" x14ac:dyDescent="0.2">
      <c r="B39" s="61" t="s">
        <v>71</v>
      </c>
      <c r="C39" t="s">
        <v>14</v>
      </c>
    </row>
    <row r="40" spans="2:4" x14ac:dyDescent="0.2">
      <c r="B40" s="61" t="s">
        <v>72</v>
      </c>
      <c r="C40" t="s">
        <v>19</v>
      </c>
    </row>
    <row r="41" spans="2:4" x14ac:dyDescent="0.2">
      <c r="B41" s="61" t="s">
        <v>73</v>
      </c>
      <c r="C41" t="s">
        <v>21</v>
      </c>
    </row>
    <row r="42" spans="2:4" x14ac:dyDescent="0.2">
      <c r="B42" s="61" t="s">
        <v>74</v>
      </c>
      <c r="C42" t="s">
        <v>25</v>
      </c>
    </row>
    <row r="43" spans="2:4" x14ac:dyDescent="0.2">
      <c r="B43" s="61" t="s">
        <v>75</v>
      </c>
      <c r="C43" t="s">
        <v>28</v>
      </c>
    </row>
    <row r="44" spans="2:4" x14ac:dyDescent="0.2">
      <c r="B44" s="61" t="s">
        <v>76</v>
      </c>
      <c r="C44" t="s">
        <v>29</v>
      </c>
    </row>
    <row r="45" spans="2:4" x14ac:dyDescent="0.2">
      <c r="B45" s="61" t="s">
        <v>77</v>
      </c>
      <c r="C45" t="s">
        <v>30</v>
      </c>
    </row>
    <row r="46" spans="2:4" x14ac:dyDescent="0.2">
      <c r="B46" s="61" t="s">
        <v>78</v>
      </c>
    </row>
    <row r="47" spans="2:4" x14ac:dyDescent="0.2">
      <c r="B47" s="61" t="s">
        <v>79</v>
      </c>
    </row>
    <row r="48" spans="2:4" x14ac:dyDescent="0.2">
      <c r="B48" s="61" t="s">
        <v>80</v>
      </c>
    </row>
    <row r="49" spans="2:2" x14ac:dyDescent="0.2">
      <c r="B49" s="61" t="s">
        <v>81</v>
      </c>
    </row>
    <row r="50" spans="2:2" x14ac:dyDescent="0.2">
      <c r="B50" s="61" t="s">
        <v>82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B865-669B-433B-A710-D7DC77E2D853}">
  <dimension ref="A1:C13"/>
  <sheetViews>
    <sheetView topLeftCell="A7" zoomScale="175" zoomScaleNormal="175" workbookViewId="0">
      <selection activeCell="C13" sqref="C13"/>
    </sheetView>
  </sheetViews>
  <sheetFormatPr defaultRowHeight="12.75" x14ac:dyDescent="0.2"/>
  <cols>
    <col min="1" max="1" width="10.85546875" customWidth="1"/>
    <col min="2" max="2" width="16.28515625" customWidth="1"/>
    <col min="3" max="3" width="77.7109375" customWidth="1"/>
  </cols>
  <sheetData>
    <row r="1" spans="1:3" x14ac:dyDescent="0.2">
      <c r="A1" s="69" t="s">
        <v>105</v>
      </c>
      <c r="B1" s="69" t="s">
        <v>104</v>
      </c>
      <c r="C1" s="69" t="s">
        <v>103</v>
      </c>
    </row>
    <row r="2" spans="1:3" x14ac:dyDescent="0.2">
      <c r="A2" s="68">
        <v>46057</v>
      </c>
      <c r="B2" s="67" t="s">
        <v>102</v>
      </c>
      <c r="C2" s="61" t="s">
        <v>101</v>
      </c>
    </row>
    <row r="3" spans="1:3" x14ac:dyDescent="0.2">
      <c r="A3" s="68">
        <v>46070</v>
      </c>
      <c r="B3" s="67" t="s">
        <v>92</v>
      </c>
      <c r="C3" s="61" t="s">
        <v>100</v>
      </c>
    </row>
    <row r="4" spans="1:3" x14ac:dyDescent="0.2">
      <c r="A4" s="68">
        <v>46073</v>
      </c>
      <c r="B4" s="67" t="s">
        <v>99</v>
      </c>
      <c r="C4" s="61" t="s">
        <v>98</v>
      </c>
    </row>
    <row r="5" spans="1:3" x14ac:dyDescent="0.2">
      <c r="A5" s="68">
        <v>46079</v>
      </c>
      <c r="B5" s="67" t="s">
        <v>92</v>
      </c>
      <c r="C5" s="61" t="s">
        <v>97</v>
      </c>
    </row>
    <row r="6" spans="1:3" x14ac:dyDescent="0.2">
      <c r="A6" s="68">
        <v>46079</v>
      </c>
      <c r="B6" s="67" t="s">
        <v>92</v>
      </c>
      <c r="C6" s="61" t="s">
        <v>96</v>
      </c>
    </row>
    <row r="7" spans="1:3" x14ac:dyDescent="0.2">
      <c r="A7" s="68">
        <v>46079</v>
      </c>
      <c r="B7" s="67" t="s">
        <v>92</v>
      </c>
      <c r="C7" s="61" t="s">
        <v>95</v>
      </c>
    </row>
    <row r="8" spans="1:3" x14ac:dyDescent="0.2">
      <c r="A8" s="68">
        <v>46079</v>
      </c>
      <c r="B8" s="67" t="s">
        <v>94</v>
      </c>
      <c r="C8" s="61" t="s">
        <v>93</v>
      </c>
    </row>
    <row r="9" spans="1:3" x14ac:dyDescent="0.2">
      <c r="A9" s="68">
        <v>46083</v>
      </c>
      <c r="B9" s="67" t="s">
        <v>92</v>
      </c>
      <c r="C9" s="61" t="s">
        <v>91</v>
      </c>
    </row>
    <row r="10" spans="1:3" x14ac:dyDescent="0.2">
      <c r="A10" s="68">
        <v>46092</v>
      </c>
      <c r="B10" s="67" t="s">
        <v>92</v>
      </c>
      <c r="C10" s="61" t="s">
        <v>114</v>
      </c>
    </row>
    <row r="11" spans="1:3" x14ac:dyDescent="0.2">
      <c r="A11" s="68">
        <v>46092</v>
      </c>
      <c r="B11" s="67" t="s">
        <v>92</v>
      </c>
      <c r="C11" s="61" t="s">
        <v>115</v>
      </c>
    </row>
    <row r="12" spans="1:3" x14ac:dyDescent="0.2">
      <c r="A12" s="68">
        <v>46098</v>
      </c>
      <c r="B12" s="67" t="s">
        <v>92</v>
      </c>
      <c r="C12" s="61" t="s">
        <v>121</v>
      </c>
    </row>
    <row r="13" spans="1:3" x14ac:dyDescent="0.2">
      <c r="A13" s="68">
        <v>46099</v>
      </c>
      <c r="B13" s="67" t="s">
        <v>99</v>
      </c>
      <c r="C13" s="61" t="s">
        <v>122</v>
      </c>
    </row>
  </sheetData>
  <autoFilter ref="A1:A9" xr:uid="{ED40A150-9D81-4F94-8CCE-E8640D0777FD}">
    <sortState xmlns:xlrd2="http://schemas.microsoft.com/office/spreadsheetml/2017/richdata2" ref="A2:C9">
      <sortCondition ref="A1:A9"/>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D76CFFE77A9245A337429EF8CAA9FF" ma:contentTypeVersion="8" ma:contentTypeDescription="Create a new document." ma:contentTypeScope="" ma:versionID="5be03739f93735f81b4bd79fe61b8f2c">
  <xsd:schema xmlns:xsd="http://www.w3.org/2001/XMLSchema" xmlns:xs="http://www.w3.org/2001/XMLSchema" xmlns:p="http://schemas.microsoft.com/office/2006/metadata/properties" xmlns:ns2="14d814e5-7055-49f4-b48c-8a2c0e6cd2c1" xmlns:ns3="de95048b-c892-4803-a250-80dd7b3c392e" targetNamespace="http://schemas.microsoft.com/office/2006/metadata/properties" ma:root="true" ma:fieldsID="b8633d11dda1b52c323f304bb00b7ce4" ns2:_="" ns3:_="">
    <xsd:import namespace="14d814e5-7055-49f4-b48c-8a2c0e6cd2c1"/>
    <xsd:import namespace="de95048b-c892-4803-a250-80dd7b3c392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d814e5-7055-49f4-b48c-8a2c0e6cd2c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95048b-c892-4803-a250-80dd7b3c392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14d814e5-7055-49f4-b48c-8a2c0e6cd2c1">
      <UserInfo>
        <DisplayName>Alexa Harmon</DisplayName>
        <AccountId>39</AccountId>
        <AccountType/>
      </UserInfo>
      <UserInfo>
        <DisplayName>John Remich</DisplayName>
        <AccountId>50</AccountId>
        <AccountType/>
      </UserInfo>
      <UserInfo>
        <DisplayName>Joseph Harmon</DisplayName>
        <AccountId>70</AccountId>
        <AccountType/>
      </UserInfo>
      <UserInfo>
        <DisplayName>Matthew Harmon</DisplayName>
        <AccountId>33</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6D8A2C-F97C-40C4-94F4-94D80EED2AD7}">
  <ds:schemaRefs>
    <ds:schemaRef ds:uri="http://schemas.microsoft.com/office/2006/metadata/contentType"/>
    <ds:schemaRef ds:uri="http://schemas.microsoft.com/office/2006/metadata/properties/metaAttributes"/>
    <ds:schemaRef ds:uri="http://www.w3.org/2000/xmlns/"/>
    <ds:schemaRef ds:uri="http://www.w3.org/2001/XMLSchema"/>
    <ds:schemaRef ds:uri="14d814e5-7055-49f4-b48c-8a2c0e6cd2c1"/>
    <ds:schemaRef ds:uri="de95048b-c892-4803-a250-80dd7b3c392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1DF12D-7372-4F93-8DD1-D42101311157}">
  <ds:schemaRefs>
    <ds:schemaRef ds:uri="http://www.w3.org/XML/1998/namespace"/>
    <ds:schemaRef ds:uri="http://schemas.microsoft.com/office/2006/documentManagement/types"/>
    <ds:schemaRef ds:uri="http://schemas.microsoft.com/office/infopath/2007/PartnerControls"/>
    <ds:schemaRef ds:uri="14d814e5-7055-49f4-b48c-8a2c0e6cd2c1"/>
    <ds:schemaRef ds:uri="de95048b-c892-4803-a250-80dd7b3c392e"/>
    <ds:schemaRef ds:uri="http://purl.org/dc/terms/"/>
    <ds:schemaRef ds:uri="http://purl.org/dc/elements/1.1/"/>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251143A-5E37-4269-AB29-359BE3A9A3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Mod Log</vt:lpstr>
      <vt:lpstr>RFP Log</vt:lpstr>
      <vt:lpstr>Committed Cost Tracker</vt:lpstr>
      <vt:lpstr>Action Log</vt:lpstr>
      <vt:lpstr>'Mod Log'!Print_Area</vt:lpstr>
      <vt:lpstr>'RFP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Taylor</dc:creator>
  <cp:lastModifiedBy>Thomas Harmon</cp:lastModifiedBy>
  <cp:lastPrinted>2025-10-09T20:34:44Z</cp:lastPrinted>
  <dcterms:created xsi:type="dcterms:W3CDTF">2018-03-30T13:39:52Z</dcterms:created>
  <dcterms:modified xsi:type="dcterms:W3CDTF">2026-04-24T20:24:42Z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0x010100F3D76CFFE77A9245A337429EF8CAA9FF</vt:lpwstr>
  </property>
</Properties>
</file>